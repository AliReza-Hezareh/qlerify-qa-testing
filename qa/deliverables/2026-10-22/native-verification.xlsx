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versikt" sheetId="1" r:id="rId5"/>
    <sheet state="visible" name="Daglogg" sheetId="2" r:id="rId6"/>
    <sheet state="visible" name="Veckologg" sheetId="3" r:id="rId7"/>
    <sheet state="visible" name="Testomgångar" sheetId="4" r:id="rId8"/>
    <sheet state="visible" name="Buggar" sheetId="5" r:id="rId9"/>
    <sheet state="visible" name="Källor" sheetId="6" r:id="rId10"/>
  </sheets>
  <definedNames>
    <definedName hidden="1" localSheetId="2" name="Z_C1C13E77_E305_4EA5_95E7_54606DE7CB7A_.wvu.FilterData">Veckologg!$A$1:$J$2</definedName>
    <definedName hidden="1" localSheetId="4" name="Z_E4FF50AE_E60A_4710_A2CD_277D90C24C01_.wvu.FilterData">Buggar!$A$1:$K$8</definedName>
    <definedName hidden="1" localSheetId="3" name="Z_79E6236E_F24F_47A1_9FFB_399E325A4E3B_.wvu.FilterData">'Testomgångar'!$A$1:$O$3</definedName>
    <definedName hidden="1" localSheetId="1" name="Z_A0ABE8B3_AEA6_49DD_9471_D7C70F1B752D_.wvu.FilterData">Daglogg!$A$1:$I$5</definedName>
    <definedName hidden="1" localSheetId="5" name="Z_405E9EC9_E923_43D3_9889_FE78802F832E_.wvu.FilterData">'Källor'!$A$1:$F$8</definedName>
  </definedNames>
  <calcPr/>
  <customWorkbookViews>
    <customWorkbookView activeSheetId="0" maximized="1" windowHeight="0" windowWidth="0" guid="{C1C13E77-E305-4EA5-95E7-54606DE7CB7A}" name="VeckologgTabell filter view"/>
    <customWorkbookView activeSheetId="0" maximized="1" windowHeight="0" windowWidth="0" guid="{E4FF50AE-E60A-4710-A2CD-277D90C24C01}" name="BuggarTabell filter view"/>
    <customWorkbookView activeSheetId="0" maximized="1" windowHeight="0" windowWidth="0" guid="{79E6236E-F24F-47A1-9FFB-399E325A4E3B}" name="TestomgangarTabell filter view"/>
    <customWorkbookView activeSheetId="0" maximized="1" windowHeight="0" windowWidth="0" guid="{A0ABE8B3-AEA6-49DD-9471-D7C70F1B752D}" name="DagloggTabell filter view"/>
    <customWorkbookView activeSheetId="0" maximized="1" windowHeight="0" windowWidth="0" guid="{405E9EC9-E923-43D3-9889-FE78802F832E}" name="KallorTabell filter view"/>
  </customWorkbookViews>
</workbook>
</file>

<file path=xl/sharedStrings.xml><?xml version="1.0" encoding="utf-8"?>
<sst xmlns="http://schemas.openxmlformats.org/spreadsheetml/2006/main" count="243" uniqueCount="179">
  <si>
    <t>Qlerify QA – Logg och testresultat</t>
  </si>
  <si>
    <t>Sammanställd</t>
  </si>
  <si>
    <t>QA-ansvarig</t>
  </si>
  <si>
    <t>Ali Reza Hezareh</t>
  </si>
  <si>
    <t>Vecka</t>
  </si>
  <si>
    <t>2026, vecka 43 – pågående</t>
  </si>
  <si>
    <t>Omgång</t>
  </si>
  <si>
    <t>Körda</t>
  </si>
  <si>
    <t>Pass</t>
  </si>
  <si>
    <t>Fail</t>
  </si>
  <si>
    <t>År</t>
  </si>
  <si>
    <t>Logg-ID</t>
  </si>
  <si>
    <t>Datum</t>
  </si>
  <si>
    <t>Testdatum</t>
  </si>
  <si>
    <t>Observerad skriptresurs</t>
  </si>
  <si>
    <t>Arbetstyp</t>
  </si>
  <si>
    <t>Dokumenterade</t>
  </si>
  <si>
    <t>Veckostart</t>
  </si>
  <si>
    <t>Utfört arbete</t>
  </si>
  <si>
    <t>Dokumenterat resultat</t>
  </si>
  <si>
    <t>Veckoslut</t>
  </si>
  <si>
    <t>Distinkta dokumenterade fel</t>
  </si>
  <si>
    <t>Lärdom / avgränsning</t>
  </si>
  <si>
    <t>Status</t>
  </si>
  <si>
    <t>Dokumenterat arbete</t>
  </si>
  <si>
    <t>Blockerade</t>
  </si>
  <si>
    <t>Källa</t>
  </si>
  <si>
    <t>Ej körda</t>
  </si>
  <si>
    <t>Resultat</t>
  </si>
  <si>
    <t>Sex nya fel och ett tidigare känt.</t>
  </si>
  <si>
    <t>Ingen godkänd release.</t>
  </si>
  <si>
    <t>Passandel</t>
  </si>
  <si>
    <t>Kvarstående avgränsningar</t>
  </si>
  <si>
    <t>D-001</t>
  </si>
  <si>
    <t>Definition</t>
  </si>
  <si>
    <t>Tolkning</t>
  </si>
  <si>
    <t>Lärdom från underlaget</t>
  </si>
  <si>
    <t>Failandel</t>
  </si>
  <si>
    <t>Det förväntade resultatet för just den dokumenterade kontrollen uppfylldes.</t>
  </si>
  <si>
    <t>Källor</t>
  </si>
  <si>
    <t>Beslut</t>
  </si>
  <si>
    <t>En dokumenterad avvikelse från kontrollens förväntade resultat observerades.</t>
  </si>
  <si>
    <t>Blockerat</t>
  </si>
  <si>
    <t>Testad omfattning</t>
  </si>
  <si>
    <t>Kontrollen saknar slutligt produktresultat på grund av angivet hinder.</t>
  </si>
  <si>
    <t>Kontrollen genomfördes inte.</t>
  </si>
  <si>
    <t>Testning</t>
  </si>
  <si>
    <t>Pass + Fail inom samma omgång. Blockerade och ej körda ingår inte.</t>
  </si>
  <si>
    <t>Passandel / Failandel</t>
  </si>
  <si>
    <t>Omgång 1</t>
  </si>
  <si>
    <t>Antal Pass eller Fail delat med körda kontroller i samma omgång.</t>
  </si>
  <si>
    <t>Första utforskande appgranskningen: arbetsflöde, sparning, flikar, export och skrivskydd.</t>
  </si>
  <si>
    <t>Två omgångar</t>
  </si>
  <si>
    <t>Resultaten ska inte summeras till antal unika tester eller generell testtäckning.</t>
  </si>
  <si>
    <t>Skriptresurs</t>
  </si>
  <si>
    <t>En observerad resursfil, inte ett verifierat fullständigt byggnummer. Äldre fel omtestades inte i den andra resursversionen.</t>
  </si>
  <si>
    <t>49 kontrollpunkter. 42 körda: 37 Pass, 5 Fail. 3 blockerade och 4 ej körda.</t>
  </si>
  <si>
    <t>Fortsatt loggning</t>
  </si>
  <si>
    <t>Lägg en ny rad i Daglogg för dokumenterat arbete och en rad per vecka i Veckologg. Bevara tidigare källor och datum.</t>
  </si>
  <si>
    <t>Rapportunderlag</t>
  </si>
  <si>
    <t>Ett godkänt resultat gäller bara den kontroll som dokumenterats. Serverbehörighet och full säkerhet testades inte.</t>
  </si>
  <si>
    <t>https://docs.google.com/document/d/1ojP28dH5XNDj-oowxUhK-xZ6c1tG0reOvhkMchx-Rls/edit?usp=drivesdk</t>
  </si>
  <si>
    <t>Dokumenterat</t>
  </si>
  <si>
    <t>app.b135f38b.js</t>
  </si>
  <si>
    <t>Pågående</t>
  </si>
  <si>
    <t>S-002</t>
  </si>
  <si>
    <t>19/10: två utforskande testomgångar. 22/10: sammanställning och arkivering. Inga aktiviteter har registrerats för 20–21/10.</t>
  </si>
  <si>
    <t>Sju distinkta dokumenterade fel: sex nya APP-001–006 och det tidigare kända QW-001. Omgångarnas kontrollpunkter redovisas separat.</t>
  </si>
  <si>
    <t>Ingen godkänd release. Bilageuppladdning och CSV-filens innehåll saknar verifierat produktresultat. Roller, API, last och återställning är inte godkända.</t>
  </si>
  <si>
    <t>En nedladdningsknapp eller förhandsvisning bevisar inte filens innehåll. Ett UI-lås bevisar inte serverns behörighetskontroll.</t>
  </si>
  <si>
    <t>S-001, S-002, S-003, S-004</t>
  </si>
  <si>
    <t>D-002</t>
  </si>
  <si>
    <t>22 oktober</t>
  </si>
  <si>
    <t>Endast sammanställning och arkivering.</t>
  </si>
  <si>
    <t>Inga nya produkttester.</t>
  </si>
  <si>
    <t>Arbete den 20–21 oktober är inte dokumenterat här.</t>
  </si>
  <si>
    <t>Avgränsning</t>
  </si>
  <si>
    <t>Filuppladdning och CSV-fil saknar verifierat resultat.</t>
  </si>
  <si>
    <t>Föreslagna nya testflöden har inte lagts till i testagenten.</t>
  </si>
  <si>
    <t>En äldre Gitrot i D:\LIA 2 finns kvar. Arbetsrepot är D:\LIA 2\code.</t>
  </si>
  <si>
    <t>Andra granskningen i nytt QA-arbetsflöde: snabba ändringar, kort, releaser, fält och modellkopplingar.</t>
  </si>
  <si>
    <t>48 kontrollpunkter. 39 körda: 37 Pass, 2 Fail. 5 blockerade och 4 ej körda.</t>
  </si>
  <si>
    <t>CSV-förhandsvisning kan granskas separat från den exporterade filen. Filinnehållet blev inte verifierat.</t>
  </si>
  <si>
    <t>S-003</t>
  </si>
  <si>
    <t>Inte godkänd</t>
  </si>
  <si>
    <t>Skapande, validering, sparning, flikar, export, skrivskydd och layout.</t>
  </si>
  <si>
    <t>Omgång 2</t>
  </si>
  <si>
    <t>D-003</t>
  </si>
  <si>
    <t>app.9855aa4c.js</t>
  </si>
  <si>
    <t>Blockering</t>
  </si>
  <si>
    <t>Två testfiler skapades: qa-åäö.txt, 28 byte, och qa-empty.txt, 0 byte.</t>
  </si>
  <si>
    <t>Första filvalet stoppades före uppladdning. Ingen fil skickades. R2-041 är fortsatt Blocked.</t>
  </si>
  <si>
    <t>Kontroll av filnamn, innehåll och lagring efter uppladdning saknar resultat. Ingen produktbugg registrerades.</t>
  </si>
  <si>
    <t>S-004</t>
  </si>
  <si>
    <t>Snabba ändringar, releaser, kort, entitetsfält, relationer, modellkopplingar och exportförhandsvisning.</t>
  </si>
  <si>
    <t>D-004</t>
  </si>
  <si>
    <t>Dokumentation</t>
  </si>
  <si>
    <t>Sammanställde och arkiverade tidigare QA-resultat i logg och rapportunderlag.</t>
  </si>
  <si>
    <t>Inga nya produkttester genomfördes den 22 oktober. Resultaten kommer från den 19 oktober.</t>
  </si>
  <si>
    <t>Arbetsrepot är D:\LIA 2\code. En äldre Gitrot finns kvar i D:\LIA 2; den är inte avvecklad.</t>
  </si>
  <si>
    <t>S-001, S-002, S-003, S-007</t>
  </si>
  <si>
    <t>Bugg-ID</t>
  </si>
  <si>
    <t>Titel</t>
  </si>
  <si>
    <t>Severity</t>
  </si>
  <si>
    <t>Prioritet</t>
  </si>
  <si>
    <t>Ny / tidigare</t>
  </si>
  <si>
    <t>Rapportdatum</t>
  </si>
  <si>
    <t>Påverkan</t>
  </si>
  <si>
    <t>Källa / bevis</t>
  </si>
  <si>
    <t>Omtest</t>
  </si>
  <si>
    <t>APP-001</t>
  </si>
  <si>
    <t>Arbetsflöde kan skapas med bara blanksteg</t>
  </si>
  <si>
    <t>Low</t>
  </si>
  <si>
    <t>P2</t>
  </si>
  <si>
    <t>Öppen</t>
  </si>
  <si>
    <t>Ny</t>
  </si>
  <si>
    <t>Arbetsflödet saknar synligt namn och blir svårt att identifiera.</t>
  </si>
  <si>
    <t>https://github.com/AliReza-Hezareh/qlerify-qa-testing/blob/4ba7e8fb81e5915a5e3d37a9a17cc5a3ca9012f2/qa/reports/exploratory-app-2026-10-19.md#app-001--ett-arbetsflöde-kan-skapas-med-bara-blanksteg</t>
  </si>
  <si>
    <t>Inte omtestad i omgång 2.</t>
  </si>
  <si>
    <t>APP-002</t>
  </si>
  <si>
    <t>Verktygsfält överlappar på smal skärm</t>
  </si>
  <si>
    <t>Medium</t>
  </si>
  <si>
    <t>Käll-ID</t>
  </si>
  <si>
    <t>Underlag</t>
  </si>
  <si>
    <t>Etiketter och val blir svåra att läsa vid 390 och 552 pixlars bredd. Stödda skärmstorlekar är inte fastställda.</t>
  </si>
  <si>
    <t>https://github.com/AliReza-Hezareh/qlerify-qa-testing/blob/4ba7e8fb81e5915a5e3d37a9a17cc5a3ca9012f2/qa/reports/exploratory-app-2026-10-19.md#app-002--domänmodellens-verktygsfält-överlappar-på-smal-skärm</t>
  </si>
  <si>
    <t>Typ</t>
  </si>
  <si>
    <t>Länk</t>
  </si>
  <si>
    <t>Vad länken visar</t>
  </si>
  <si>
    <t>S-001</t>
  </si>
  <si>
    <t>QA-status</t>
  </si>
  <si>
    <t>GitHub-snapshot</t>
  </si>
  <si>
    <t>https://github.com/AliReza-Hezareh/qlerify-qa-testing/blob/4ba7e8fb81e5915a5e3d37a9a17cc5a3ca9012f2/qa/STATUS.md</t>
  </si>
  <si>
    <t>APP-003</t>
  </si>
  <si>
    <t>Villkorslänk ger 404 från händelsedetalj</t>
  </si>
  <si>
    <t>Sammanfattning och avgränsningar från den sparade QA-statusen.</t>
  </si>
  <si>
    <t>Första utforskande appgranskningen</t>
  </si>
  <si>
    <t>https://github.com/AliReza-Hezareh/qlerify-qa-testing/blob/4ba7e8fb81e5915a5e3d37a9a17cc5a3ca9012f2/qa/reports/exploratory-app-2026-10-19.md</t>
  </si>
  <si>
    <t>Villkorsdokumentet går inte att öppna från den testade detaljadressen.</t>
  </si>
  <si>
    <t>https://github.com/AliReza-Hezareh/qlerify-qa-testing/blob/4ba7e8fb81e5915a5e3d37a9a17cc5a3ca9012f2/qa/reports/exploratory-app-2026-10-19.md#app-003--villkorslänken-ger-404-från-en-händelses-detaljadress</t>
  </si>
  <si>
    <t>49 kontrollpunkter och APP-001–004 samt QW-001.</t>
  </si>
  <si>
    <t>Andra utforskande appgranskningen</t>
  </si>
  <si>
    <t>APP-004</t>
  </si>
  <si>
    <t>Fyra ikonknappar saknar tillgängligt namn</t>
  </si>
  <si>
    <t>https://github.com/AliReza-Hezareh/qlerify-qa-testing/blob/4ba7e8fb81e5915a5e3d37a9a17cc5a3ca9012f2/qa/reports/exploratory-app-2026-10-19-round2.md</t>
  </si>
  <si>
    <t>Knappar saknar beskrivande namn i tillgänglighetsträdet. Specifik skärmläsare testades inte.</t>
  </si>
  <si>
    <t>https://github.com/AliReza-Hezareh/qlerify-qa-testing/blob/4ba7e8fb81e5915a5e3d37a9a17cc5a3ca9012f2/qa/reports/exploratory-app-2026-10-19.md#app-004--fyra-ikonknappar-saknar-tillgängligt-namn</t>
  </si>
  <si>
    <t>48 kontrollpunkter samt APP-005 och APP-006.</t>
  </si>
  <si>
    <t>R2-041: stoppad filuppladdning</t>
  </si>
  <si>
    <t>APP-005</t>
  </si>
  <si>
    <t>Snabb namnändring följd av Add lane tappar banan</t>
  </si>
  <si>
    <t>https://github.com/AliReza-Hezareh/qlerify-qa-testing/blob/4ba7e8fb81e5915a5e3d37a9a17cc5a3ca9012f2/qa/evidence/exploratory-2026-10-19-round2/TC-upload-blocked.md</t>
  </si>
  <si>
    <t>Namn sparas men den efterföljande åtgärden misslyckas med konfliktmeddelande. Reproducerat två gånger.</t>
  </si>
  <si>
    <t>https://github.com/AliReza-Hezareh/qlerify-qa-testing/blob/4ba7e8fb81e5915a5e3d37a9a17cc5a3ca9012f2/qa/reports/exploratory-app-2026-10-19-round2.md#app-005--snabb-namnändring-följd-av-add-lane-tappar-den-nya-banan</t>
  </si>
  <si>
    <t>Två testfiler skapades. Ingen fil laddades upp och inget manuellt resultat har rapporterats.</t>
  </si>
  <si>
    <t>S-005</t>
  </si>
  <si>
    <t>Bevis från första omgången</t>
  </si>
  <si>
    <t>https://github.com/AliReza-Hezareh/qlerify-qa-testing/tree/4ba7e8fb81e5915a5e3d37a9a17cc5a3ca9012f2/qa/evidence/exploratory-2026-10-19/</t>
  </si>
  <si>
    <t>Två försök i omgång 2.</t>
  </si>
  <si>
    <t>APP-006</t>
  </si>
  <si>
    <t>Sparade bilder, DOM-utdrag och textbevis.</t>
  </si>
  <si>
    <t>CSV-förhandsvisning slår ihop två textrader</t>
  </si>
  <si>
    <t>S-006</t>
  </si>
  <si>
    <t>Bevis från andra omgången</t>
  </si>
  <si>
    <t>https://github.com/AliReza-Hezareh/qlerify-qa-testing/tree/4ba7e8fb81e5915a5e3d37a9a17cc5a3ca9012f2/qa/evidence/exploratory-2026-10-19-round2/</t>
  </si>
  <si>
    <t>Två textrader blir en text utan avskiljare. Själva CSV-filen är inte verifierad.</t>
  </si>
  <si>
    <t>https://github.com/AliReza-Hezareh/qlerify-qa-testing/blob/4ba7e8fb81e5915a5e3d37a9a17cc5a3ca9012f2/qa/reports/exploratory-app-2026-10-19-round2.md#app-006--csv-förhandsvisningen-tar-bort-gränsen-mellan-två-textrader</t>
  </si>
  <si>
    <t>Förhandsvisningen verifierad i omgång 2.</t>
  </si>
  <si>
    <t>Sparade bilder, textbevis och strukturerade observationer.</t>
  </si>
  <si>
    <t>QW-001</t>
  </si>
  <si>
    <t>S-007</t>
  </si>
  <si>
    <t>qlerify.com/login visar Page Not Found</t>
  </si>
  <si>
    <t>QA-rapport och arbetsunderlag</t>
  </si>
  <si>
    <t>Google Dokument</t>
  </si>
  <si>
    <t>Tidigare känt</t>
  </si>
  <si>
    <t>Den publika loginadressen visar en felsida. Sidans Log in-länk pekar på appens login.</t>
  </si>
  <si>
    <t>https://github.com/AliReza-Hezareh/qlerify-qa-testing/blob/4ba7e8fb81e5915a5e3d37a9a17cc5a3ca9012f2/qa/reports/exploratory-app-2026-10-19.md#qw-001--qlerifycomlogin-visar-page-not-found</t>
  </si>
  <si>
    <t>Återkom i omgång 1. Inte omtestad i omgång 2.</t>
  </si>
  <si>
    <t>Sammanställning för rapport och fortsatt dokumentation.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</si>
</sst>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"/>
  </numFmts>
  <fonts count="6">
    <font>
      <sz val="11.0"/>
      <color rgb="FF000000"/>
      <name val="Carlito"/>
      <scheme val="minor"/>
    </font>
    <font>
      <sz val="11.0"/>
      <color rgb="FF202124"/>
      <name val="Arial"/>
    </font>
    <font>
      <b/>
      <sz val="15.0"/>
      <color rgb="FF202124"/>
      <name val="Arial"/>
    </font>
    <font>
      <b/>
      <sz val="11.0"/>
      <color rgb="FF202124"/>
      <name val="Arial"/>
    </font>
    <font>
      <u/>
      <sz val="11.0"/>
      <color rgb="FF1A73E8"/>
      <name val="Arial"/>
    </font>
    <font>
      <u/>
      <sz val="11.0"/>
      <color rgb="FF1A73E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0" fillId="0" fontId="1" numFmtId="1" xfId="0" applyAlignment="1" applyFont="1" applyNumberFormat="1">
      <alignment shrinkToFit="0" vertical="top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65" xfId="0" applyAlignment="1" applyFont="1" applyNumberFormat="1">
      <alignment shrinkToFit="0" vertical="top" wrapText="1"/>
    </xf>
    <xf borderId="0" fillId="0" fontId="1" numFmtId="1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10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5">
    <tableStyle count="4" pivot="0" name="Veckologg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Daglogg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Testomgångar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Buggar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Källor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" displayName="DagloggTabell" name="DagloggTabell" id="1">
  <tableColumns count="9">
    <tableColumn name="Logg-ID" id="1"/>
    <tableColumn name="Datum" id="2"/>
    <tableColumn name="Vecka" id="3"/>
    <tableColumn name="Arbetstyp" id="4"/>
    <tableColumn name="Utfört arbete" id="5"/>
    <tableColumn name="Dokumenterat resultat" id="6"/>
    <tableColumn name="Lärdom / avgränsning" id="7"/>
    <tableColumn name="Status" id="8"/>
    <tableColumn name="Källa" id="9"/>
  </tableColumns>
  <tableStyleInfo name="Daglogg-style" showColumnStripes="0" showFirstColumn="1" showLastColumn="1" showRowStripes="1"/>
</table>
</file>

<file path=xl/tables/table2.xml><?xml version="1.0" encoding="utf-8"?>
<table xmlns="http://schemas.openxmlformats.org/spreadsheetml/2006/main" ref="A1:J2" displayName="VeckologgTabell" name="VeckologgTabell" id="2">
  <tableColumns count="10">
    <tableColumn name="År" id="1"/>
    <tableColumn name="Vecka" id="2"/>
    <tableColumn name="Veckostart" id="3"/>
    <tableColumn name="Veckoslut" id="4"/>
    <tableColumn name="Status" id="5"/>
    <tableColumn name="Dokumenterat arbete" id="6"/>
    <tableColumn name="Resultat" id="7"/>
    <tableColumn name="Kvarstående avgränsningar" id="8"/>
    <tableColumn name="Lärdom från underlaget" id="9"/>
    <tableColumn name="Källor" id="10"/>
  </tableColumns>
  <tableStyleInfo name="Veckologg-style" showColumnStripes="0" showFirstColumn="1" showLastColumn="1" showRowStripes="1"/>
</table>
</file>

<file path=xl/tables/table3.xml><?xml version="1.0" encoding="utf-8"?>
<table xmlns="http://schemas.openxmlformats.org/spreadsheetml/2006/main" ref="A1:O3" displayName="TestomgangarTabell" name="TestomgangarTabell" id="3">
  <tableColumns count="15">
    <tableColumn name="Omgång" id="1"/>
    <tableColumn name="Testdatum" id="2"/>
    <tableColumn name="Vecka" id="3"/>
    <tableColumn name="Observerad skriptresurs" id="4"/>
    <tableColumn name="Dokumenterade" id="5"/>
    <tableColumn name="Körda" id="6"/>
    <tableColumn name="Pass" id="7"/>
    <tableColumn name="Fail" id="8"/>
    <tableColumn name="Blockerade" id="9"/>
    <tableColumn name="Ej körda" id="10"/>
    <tableColumn name="Passandel" id="11"/>
    <tableColumn name="Failandel" id="12"/>
    <tableColumn name="Beslut" id="13"/>
    <tableColumn name="Testad omfattning" id="14"/>
    <tableColumn name="Källa" id="15"/>
  </tableColumns>
  <tableStyleInfo name="Testomgångar-style" showColumnStripes="0" showFirstColumn="1" showLastColumn="1" showRowStripes="1"/>
</table>
</file>

<file path=xl/tables/table4.xml><?xml version="1.0" encoding="utf-8"?>
<table xmlns="http://schemas.openxmlformats.org/spreadsheetml/2006/main" ref="A1:K8" displayName="BuggarTabell" name="BuggarTabell" id="4">
  <tableColumns count="11">
    <tableColumn name="Bugg-ID" id="1"/>
    <tableColumn name="Titel" id="2"/>
    <tableColumn name="Severity" id="3"/>
    <tableColumn name="Prioritet" id="4"/>
    <tableColumn name="Status" id="5"/>
    <tableColumn name="Ny / tidigare" id="6"/>
    <tableColumn name="Omgång" id="7"/>
    <tableColumn name="Rapportdatum" id="8"/>
    <tableColumn name="Påverkan" id="9"/>
    <tableColumn name="Källa / bevis" id="10"/>
    <tableColumn name="Omtest" id="11"/>
  </tableColumns>
  <tableStyleInfo name="Buggar-style" showColumnStripes="0" showFirstColumn="1" showLastColumn="1" showRowStripes="1"/>
</table>
</file>

<file path=xl/tables/table5.xml><?xml version="1.0" encoding="utf-8"?>
<table xmlns="http://schemas.openxmlformats.org/spreadsheetml/2006/main" ref="A1:F8" displayName="KallorTabell" name="KallorTabell" id="5">
  <tableColumns count="6">
    <tableColumn name="Käll-ID" id="1"/>
    <tableColumn name="Underlag" id="2"/>
    <tableColumn name="Typ" id="3"/>
    <tableColumn name="Datum" id="4"/>
    <tableColumn name="Länk" id="5"/>
    <tableColumn name="Vad länken visar" id="6"/>
  </tableColumns>
  <tableStyleInfo name="Käll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jP28dH5XNDj-oowxUhK-xZ6c1tG0reOvhkMchx-Rls/edit?usp=drivesd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liReza-Hezareh/qlerify-qa-testing/blob/4ba7e8fb81e5915a5e3d37a9a17cc5a3ca9012f2/qa/reports/exploratory-app-2026-10-19.md" TargetMode="External"/><Relationship Id="rId2" Type="http://schemas.openxmlformats.org/officeDocument/2006/relationships/hyperlink" Target="https://github.com/AliReza-Hezareh/qlerify-qa-testing/blob/4ba7e8fb81e5915a5e3d37a9a17cc5a3ca9012f2/qa/reports/exploratory-app-2026-10-19.md" TargetMode="External"/><Relationship Id="rId3" Type="http://schemas.openxmlformats.org/officeDocument/2006/relationships/hyperlink" Target="https://github.com/AliReza-Hezareh/qlerify-qa-testing/blob/4ba7e8fb81e5915a5e3d37a9a17cc5a3ca9012f2/qa/reports/exploratory-app-2026-10-19.md" TargetMode="External"/><Relationship Id="rId4" Type="http://schemas.openxmlformats.org/officeDocument/2006/relationships/hyperlink" Target="https://github.com/AliReza-Hezareh/qlerify-qa-testing/blob/4ba7e8fb81e5915a5e3d37a9a17cc5a3ca9012f2/qa/reports/exploratory-app-2026-10-19.md" TargetMode="External"/><Relationship Id="rId10" Type="http://schemas.openxmlformats.org/officeDocument/2006/relationships/table" Target="../tables/table4.xml"/><Relationship Id="rId5" Type="http://schemas.openxmlformats.org/officeDocument/2006/relationships/hyperlink" Target="https://github.com/AliReza-Hezareh/qlerify-qa-testing/blob/4ba7e8fb81e5915a5e3d37a9a17cc5a3ca9012f2/qa/reports/exploratory-app-2026-10-19-round2.md" TargetMode="External"/><Relationship Id="rId6" Type="http://schemas.openxmlformats.org/officeDocument/2006/relationships/hyperlink" Target="https://github.com/AliReza-Hezareh/qlerify-qa-testing/blob/4ba7e8fb81e5915a5e3d37a9a17cc5a3ca9012f2/qa/reports/exploratory-app-2026-10-19-round2.md" TargetMode="External"/><Relationship Id="rId7" Type="http://schemas.openxmlformats.org/officeDocument/2006/relationships/hyperlink" Target="https://github.com/AliReza-Hezareh/qlerify-qa-testing/blob/4ba7e8fb81e5915a5e3d37a9a17cc5a3ca9012f2/qa/reports/exploratory-app-2026-10-19.md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liReza-Hezareh/qlerify-qa-testing/blob/4ba7e8fb81e5915a5e3d37a9a17cc5a3ca9012f2/qa/STATUS.md" TargetMode="External"/><Relationship Id="rId2" Type="http://schemas.openxmlformats.org/officeDocument/2006/relationships/hyperlink" Target="https://github.com/AliReza-Hezareh/qlerify-qa-testing/blob/4ba7e8fb81e5915a5e3d37a9a17cc5a3ca9012f2/qa/reports/exploratory-app-2026-10-19.md" TargetMode="External"/><Relationship Id="rId3" Type="http://schemas.openxmlformats.org/officeDocument/2006/relationships/hyperlink" Target="https://github.com/AliReza-Hezareh/qlerify-qa-testing/blob/4ba7e8fb81e5915a5e3d37a9a17cc5a3ca9012f2/qa/reports/exploratory-app-2026-10-19-round2.md" TargetMode="External"/><Relationship Id="rId4" Type="http://schemas.openxmlformats.org/officeDocument/2006/relationships/hyperlink" Target="https://github.com/AliReza-Hezareh/qlerify-qa-testing/blob/4ba7e8fb81e5915a5e3d37a9a17cc5a3ca9012f2/qa/evidence/exploratory-2026-10-19-round2/TC-upload-blocked.md" TargetMode="External"/><Relationship Id="rId10" Type="http://schemas.openxmlformats.org/officeDocument/2006/relationships/table" Target="../tables/table5.xml"/><Relationship Id="rId5" Type="http://schemas.openxmlformats.org/officeDocument/2006/relationships/hyperlink" Target="https://github.com/AliReza-Hezareh/qlerify-qa-testing/tree/4ba7e8fb81e5915a5e3d37a9a17cc5a3ca9012f2/qa/evidence/exploratory-2026-10-19/" TargetMode="External"/><Relationship Id="rId6" Type="http://schemas.openxmlformats.org/officeDocument/2006/relationships/hyperlink" Target="https://github.com/AliReza-Hezareh/qlerify-qa-testing/tree/4ba7e8fb81e5915a5e3d37a9a17cc5a3ca9012f2/qa/evidence/exploratory-2026-10-19-round2/" TargetMode="External"/><Relationship Id="rId7" Type="http://schemas.openxmlformats.org/officeDocument/2006/relationships/hyperlink" Target="https://docs.google.com/document/d/1ojP28dH5XNDj-oowxUhK-xZ6c1tG0reOvhkMchx-Rls/edit?usp=drivesdk" TargetMode="External"/><Relationship Id="rId8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71.25"/>
    <col customWidth="1" min="3" max="3" width="37.5"/>
    <col customWidth="1" min="4" max="4" width="40.0"/>
    <col customWidth="1" min="5" max="26" width="8.63"/>
  </cols>
  <sheetData>
    <row r="1" ht="30.0" customHeight="1">
      <c r="A1" s="1"/>
      <c r="B1" s="1"/>
      <c r="C1" s="1"/>
      <c r="D1" s="1"/>
    </row>
    <row r="2" ht="30.0" customHeight="1">
      <c r="A2" s="2" t="s">
        <v>0</v>
      </c>
      <c r="B2" s="1"/>
      <c r="C2" s="1"/>
      <c r="D2" s="1"/>
    </row>
    <row r="3" ht="30.0" customHeight="1">
      <c r="A3" s="1"/>
      <c r="B3" s="1"/>
      <c r="C3" s="1"/>
      <c r="D3" s="1"/>
    </row>
    <row r="4" ht="30.0" customHeight="1">
      <c r="A4" s="1" t="s">
        <v>1</v>
      </c>
      <c r="B4" s="3">
        <v>46317.0</v>
      </c>
      <c r="C4" s="1"/>
      <c r="D4" s="1"/>
    </row>
    <row r="5" ht="30.0" customHeight="1">
      <c r="A5" s="1" t="s">
        <v>2</v>
      </c>
      <c r="B5" s="1" t="s">
        <v>3</v>
      </c>
      <c r="C5" s="1"/>
      <c r="D5" s="1"/>
    </row>
    <row r="6" ht="30.0" customHeight="1">
      <c r="A6" s="1" t="s">
        <v>4</v>
      </c>
      <c r="B6" s="1" t="s">
        <v>5</v>
      </c>
      <c r="C6" s="1"/>
      <c r="D6" s="1"/>
    </row>
    <row r="7" ht="30.0" customHeight="1">
      <c r="A7" s="1"/>
      <c r="B7" s="1"/>
      <c r="C7" s="1"/>
      <c r="D7" s="1"/>
    </row>
    <row r="8" ht="30.0" customHeight="1">
      <c r="A8" s="4" t="s">
        <v>6</v>
      </c>
      <c r="B8" s="4" t="s">
        <v>7</v>
      </c>
      <c r="C8" s="4" t="s">
        <v>8</v>
      </c>
      <c r="D8" s="4" t="s">
        <v>9</v>
      </c>
    </row>
    <row r="9" ht="30.0" customHeight="1">
      <c r="A9" s="1" t="str">
        <f>'Testomgångar'!A2</f>
        <v>Omgång 1</v>
      </c>
      <c r="B9" s="5">
        <f>'Testomgångar'!F2</f>
        <v>42</v>
      </c>
      <c r="C9" s="5">
        <f>'Testomgångar'!G2</f>
        <v>37</v>
      </c>
      <c r="D9" s="5">
        <f>'Testomgångar'!H2</f>
        <v>5</v>
      </c>
    </row>
    <row r="10" ht="30.0" customHeight="1">
      <c r="A10" s="1" t="str">
        <f>'Testomgångar'!A3</f>
        <v>Omgång 2</v>
      </c>
      <c r="B10" s="5">
        <f>'Testomgångar'!F3</f>
        <v>39</v>
      </c>
      <c r="C10" s="5">
        <f>'Testomgångar'!G3</f>
        <v>37</v>
      </c>
      <c r="D10" s="5">
        <f>'Testomgångar'!H3</f>
        <v>2</v>
      </c>
    </row>
    <row r="11" ht="30.0" customHeight="1">
      <c r="A11" s="1"/>
      <c r="B11" s="1"/>
      <c r="C11" s="1"/>
      <c r="D11" s="1"/>
    </row>
    <row r="12" ht="30.0" customHeight="1">
      <c r="A12" s="1" t="s">
        <v>21</v>
      </c>
      <c r="B12" s="1">
        <f>COUNTA(Buggar!A2:A8)</f>
        <v>7</v>
      </c>
      <c r="C12" s="1" t="s">
        <v>29</v>
      </c>
      <c r="D12" s="1" t="s">
        <v>30</v>
      </c>
    </row>
    <row r="13" ht="30.0" customHeight="1">
      <c r="A13" s="1"/>
      <c r="B13" s="1"/>
      <c r="C13" s="1"/>
      <c r="D13" s="1"/>
    </row>
    <row r="14" ht="30.0" customHeight="1">
      <c r="A14" s="4" t="s">
        <v>34</v>
      </c>
      <c r="B14" s="4" t="s">
        <v>35</v>
      </c>
      <c r="C14" s="1"/>
      <c r="D14" s="1"/>
    </row>
    <row r="15" ht="57.75" customHeight="1">
      <c r="A15" s="1" t="s">
        <v>8</v>
      </c>
      <c r="B15" s="1" t="s">
        <v>38</v>
      </c>
      <c r="C15" s="1"/>
      <c r="D15" s="1"/>
    </row>
    <row r="16" ht="57.75" customHeight="1">
      <c r="A16" s="1" t="s">
        <v>9</v>
      </c>
      <c r="B16" s="1" t="s">
        <v>41</v>
      </c>
      <c r="C16" s="1"/>
      <c r="D16" s="1"/>
    </row>
    <row r="17" ht="57.75" customHeight="1">
      <c r="A17" s="1" t="s">
        <v>42</v>
      </c>
      <c r="B17" s="1" t="s">
        <v>44</v>
      </c>
      <c r="C17" s="1"/>
      <c r="D17" s="1"/>
    </row>
    <row r="18" ht="57.75" customHeight="1">
      <c r="A18" s="1" t="s">
        <v>27</v>
      </c>
      <c r="B18" s="1" t="s">
        <v>45</v>
      </c>
      <c r="C18" s="1"/>
      <c r="D18" s="1"/>
    </row>
    <row r="19" ht="57.75" customHeight="1">
      <c r="A19" s="1" t="s">
        <v>7</v>
      </c>
      <c r="B19" s="1" t="s">
        <v>47</v>
      </c>
      <c r="C19" s="1"/>
      <c r="D19" s="1"/>
    </row>
    <row r="20" ht="57.75" customHeight="1">
      <c r="A20" s="1" t="s">
        <v>48</v>
      </c>
      <c r="B20" s="1" t="s">
        <v>50</v>
      </c>
      <c r="C20" s="1"/>
      <c r="D20" s="1"/>
    </row>
    <row r="21" ht="57.75" customHeight="1">
      <c r="A21" s="1" t="s">
        <v>52</v>
      </c>
      <c r="B21" s="1" t="s">
        <v>53</v>
      </c>
      <c r="C21" s="1"/>
      <c r="D21" s="1"/>
    </row>
    <row r="22" ht="57.75" customHeight="1">
      <c r="A22" s="1" t="s">
        <v>54</v>
      </c>
      <c r="B22" s="1" t="s">
        <v>55</v>
      </c>
      <c r="C22" s="1"/>
      <c r="D22" s="1"/>
    </row>
    <row r="23" ht="57.75" customHeight="1">
      <c r="A23" s="1" t="s">
        <v>57</v>
      </c>
      <c r="B23" s="1" t="s">
        <v>58</v>
      </c>
      <c r="C23" s="1"/>
      <c r="D23" s="1"/>
    </row>
    <row r="24" ht="57.75" customHeight="1">
      <c r="A24" s="1" t="s">
        <v>59</v>
      </c>
      <c r="B24" s="10" t="s">
        <v>61</v>
      </c>
      <c r="C24" s="1"/>
      <c r="D24" s="1"/>
    </row>
    <row r="25" ht="30.0" customHeight="1">
      <c r="A25" s="1"/>
      <c r="B25" s="1"/>
      <c r="C25" s="1"/>
      <c r="D25" s="1"/>
    </row>
    <row r="26" ht="79.5" customHeight="1">
      <c r="A26" s="1" t="s">
        <v>72</v>
      </c>
      <c r="B26" s="1" t="s">
        <v>73</v>
      </c>
      <c r="C26" s="1" t="s">
        <v>74</v>
      </c>
      <c r="D26" s="1" t="s">
        <v>75</v>
      </c>
    </row>
    <row r="27" ht="79.5" customHeight="1">
      <c r="A27" s="1" t="s">
        <v>76</v>
      </c>
      <c r="B27" s="1" t="s">
        <v>77</v>
      </c>
      <c r="C27" s="1" t="s">
        <v>78</v>
      </c>
      <c r="D27" s="1" t="s">
        <v>79</v>
      </c>
    </row>
    <row r="28" ht="30.0" customHeight="1">
      <c r="A28" s="1"/>
      <c r="B28" s="1"/>
      <c r="C28" s="1"/>
      <c r="D28" s="1"/>
    </row>
    <row r="29" ht="30.0" customHeight="1">
      <c r="A29" s="1"/>
      <c r="B29" s="1"/>
      <c r="C29" s="1"/>
      <c r="D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25"/>
    <col customWidth="1" min="2" max="2" width="13.13"/>
    <col customWidth="1" min="3" max="3" width="8.13"/>
    <col customWidth="1" min="4" max="4" width="16.88"/>
    <col customWidth="1" min="5" max="5" width="43.75"/>
    <col customWidth="1" min="6" max="7" width="48.75"/>
    <col customWidth="1" min="8" max="8" width="17.5"/>
    <col customWidth="1" min="9" max="9" width="16.25"/>
    <col customWidth="1" min="10" max="26" width="8.63"/>
  </cols>
  <sheetData>
    <row r="1" ht="36.0" customHeight="1">
      <c r="A1" s="6" t="s">
        <v>11</v>
      </c>
      <c r="B1" s="6" t="s">
        <v>12</v>
      </c>
      <c r="C1" s="6" t="s">
        <v>4</v>
      </c>
      <c r="D1" s="6" t="s">
        <v>15</v>
      </c>
      <c r="E1" s="6" t="s">
        <v>18</v>
      </c>
      <c r="F1" s="6" t="s">
        <v>19</v>
      </c>
      <c r="G1" s="6" t="s">
        <v>22</v>
      </c>
      <c r="H1" s="6" t="s">
        <v>23</v>
      </c>
      <c r="I1" s="6" t="s">
        <v>26</v>
      </c>
    </row>
    <row r="2" ht="72.0" customHeight="1">
      <c r="A2" s="7" t="s">
        <v>33</v>
      </c>
      <c r="B2" s="8">
        <v>46314.0</v>
      </c>
      <c r="C2" s="7">
        <v>43.0</v>
      </c>
      <c r="D2" s="1" t="s">
        <v>46</v>
      </c>
      <c r="E2" s="7" t="s">
        <v>51</v>
      </c>
      <c r="F2" s="7" t="s">
        <v>56</v>
      </c>
      <c r="G2" s="7" t="s">
        <v>60</v>
      </c>
      <c r="H2" s="1" t="s">
        <v>62</v>
      </c>
      <c r="I2" s="7" t="s">
        <v>65</v>
      </c>
    </row>
    <row r="3" ht="72.0" customHeight="1">
      <c r="A3" s="7" t="s">
        <v>71</v>
      </c>
      <c r="B3" s="8">
        <v>46314.0</v>
      </c>
      <c r="C3" s="7">
        <v>43.0</v>
      </c>
      <c r="D3" s="1" t="s">
        <v>46</v>
      </c>
      <c r="E3" s="7" t="s">
        <v>80</v>
      </c>
      <c r="F3" s="7" t="s">
        <v>81</v>
      </c>
      <c r="G3" s="7" t="s">
        <v>82</v>
      </c>
      <c r="H3" s="1" t="s">
        <v>62</v>
      </c>
      <c r="I3" s="7" t="s">
        <v>83</v>
      </c>
    </row>
    <row r="4" ht="72.0" customHeight="1">
      <c r="A4" s="7" t="s">
        <v>87</v>
      </c>
      <c r="B4" s="8">
        <v>46314.0</v>
      </c>
      <c r="C4" s="7">
        <v>43.0</v>
      </c>
      <c r="D4" s="1" t="s">
        <v>89</v>
      </c>
      <c r="E4" s="7" t="s">
        <v>90</v>
      </c>
      <c r="F4" s="7" t="s">
        <v>91</v>
      </c>
      <c r="G4" s="7" t="s">
        <v>92</v>
      </c>
      <c r="H4" s="1" t="s">
        <v>42</v>
      </c>
      <c r="I4" s="7" t="s">
        <v>93</v>
      </c>
    </row>
    <row r="5" ht="72.0" customHeight="1">
      <c r="A5" s="7" t="s">
        <v>95</v>
      </c>
      <c r="B5" s="8">
        <v>46317.0</v>
      </c>
      <c r="C5" s="7">
        <v>43.0</v>
      </c>
      <c r="D5" s="1" t="s">
        <v>96</v>
      </c>
      <c r="E5" s="7" t="s">
        <v>97</v>
      </c>
      <c r="F5" s="7" t="s">
        <v>98</v>
      </c>
      <c r="G5" s="7" t="s">
        <v>99</v>
      </c>
      <c r="H5" s="1" t="s">
        <v>62</v>
      </c>
      <c r="I5" s="7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0ABE8B3-AEA6-49DD-9471-D7C70F1B752D}" filter="1" showAutoFilter="1">
      <autoFilter ref="$A$1:$I$5"/>
    </customSheetView>
  </customSheetViews>
  <dataValidations>
    <dataValidation type="list" allowBlank="1" showErrorMessage="1" sqref="D2:D5">
      <formula1>"Testning,Dokumentation,Blockering"</formula1>
    </dataValidation>
    <dataValidation type="list" allowBlank="1" showErrorMessage="1" sqref="H2:H5">
      <formula1>"Dokumenterat,Pågående,Blockerat"</formula1>
    </dataValidation>
    <dataValidation type="custom" allowBlank="1" showDropDown="1" sqref="B2:B5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75"/>
    <col customWidth="1" min="2" max="2" width="8.13"/>
    <col customWidth="1" min="3" max="4" width="13.13"/>
    <col customWidth="1" min="5" max="5" width="17.5"/>
    <col customWidth="1" min="6" max="6" width="47.5"/>
    <col customWidth="1" min="7" max="8" width="50.0"/>
    <col customWidth="1" min="9" max="9" width="47.5"/>
    <col customWidth="1" min="10" max="10" width="22.5"/>
    <col customWidth="1" min="11" max="26" width="8.63"/>
  </cols>
  <sheetData>
    <row r="1" ht="36.0" customHeight="1">
      <c r="A1" s="6" t="s">
        <v>10</v>
      </c>
      <c r="B1" s="6" t="s">
        <v>4</v>
      </c>
      <c r="C1" s="6" t="s">
        <v>17</v>
      </c>
      <c r="D1" s="6" t="s">
        <v>20</v>
      </c>
      <c r="E1" s="6" t="s">
        <v>23</v>
      </c>
      <c r="F1" s="6" t="s">
        <v>24</v>
      </c>
      <c r="G1" s="6" t="s">
        <v>28</v>
      </c>
      <c r="H1" s="6" t="s">
        <v>32</v>
      </c>
      <c r="I1" s="6" t="s">
        <v>36</v>
      </c>
      <c r="J1" s="6" t="s">
        <v>39</v>
      </c>
    </row>
    <row r="2" ht="72.0" customHeight="1">
      <c r="A2" s="7">
        <v>2026.0</v>
      </c>
      <c r="B2" s="7">
        <v>43.0</v>
      </c>
      <c r="C2" s="8">
        <v>46314.0</v>
      </c>
      <c r="D2" s="8">
        <v>46320.0</v>
      </c>
      <c r="E2" s="1" t="s">
        <v>64</v>
      </c>
      <c r="F2" s="7" t="s">
        <v>66</v>
      </c>
      <c r="G2" s="7" t="s">
        <v>67</v>
      </c>
      <c r="H2" s="7" t="s">
        <v>68</v>
      </c>
      <c r="I2" s="7" t="s">
        <v>69</v>
      </c>
      <c r="J2" s="7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1C13E77-E305-4EA5-95E7-54606DE7CB7A}" filter="1" showAutoFilter="1">
      <autoFilter ref="$A$1:$J$2"/>
    </customSheetView>
  </customSheetViews>
  <dataValidations>
    <dataValidation type="list" allowBlank="1" showErrorMessage="1" sqref="E2">
      <formula1>"Pågående,Avslutad"</formula1>
    </dataValidation>
    <dataValidation type="custom" allowBlank="1" showDropDown="1" sqref="C2:D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6.25"/>
    <col customWidth="1" min="2" max="2" width="13.13"/>
    <col customWidth="1" min="3" max="3" width="8.13"/>
    <col customWidth="1" min="4" max="4" width="21.25"/>
    <col customWidth="1" min="5" max="5" width="15.0"/>
    <col customWidth="1" min="6" max="6" width="11.25"/>
    <col customWidth="1" min="7" max="8" width="10.0"/>
    <col customWidth="1" min="9" max="9" width="13.75"/>
    <col customWidth="1" min="10" max="10" width="12.5"/>
    <col customWidth="1" min="11" max="12" width="13.75"/>
    <col customWidth="1" min="13" max="13" width="17.5"/>
    <col customWidth="1" min="14" max="14" width="51.25"/>
    <col customWidth="1" min="15" max="15" width="11.25"/>
    <col customWidth="1" min="16" max="26" width="8.63"/>
  </cols>
  <sheetData>
    <row r="1" ht="36.0" customHeight="1">
      <c r="A1" s="6" t="s">
        <v>6</v>
      </c>
      <c r="B1" s="6" t="s">
        <v>13</v>
      </c>
      <c r="C1" s="6" t="s">
        <v>4</v>
      </c>
      <c r="D1" s="6" t="s">
        <v>14</v>
      </c>
      <c r="E1" s="6" t="s">
        <v>16</v>
      </c>
      <c r="F1" s="6" t="s">
        <v>7</v>
      </c>
      <c r="G1" s="6" t="s">
        <v>8</v>
      </c>
      <c r="H1" s="6" t="s">
        <v>9</v>
      </c>
      <c r="I1" s="6" t="s">
        <v>25</v>
      </c>
      <c r="J1" s="6" t="s">
        <v>27</v>
      </c>
      <c r="K1" s="6" t="s">
        <v>31</v>
      </c>
      <c r="L1" s="6" t="s">
        <v>37</v>
      </c>
      <c r="M1" s="6" t="s">
        <v>40</v>
      </c>
      <c r="N1" s="6" t="s">
        <v>43</v>
      </c>
      <c r="O1" s="6" t="s">
        <v>26</v>
      </c>
    </row>
    <row r="2" ht="72.0" customHeight="1">
      <c r="A2" s="7" t="s">
        <v>49</v>
      </c>
      <c r="B2" s="8">
        <v>46314.0</v>
      </c>
      <c r="C2" s="7">
        <v>43.0</v>
      </c>
      <c r="D2" s="7" t="s">
        <v>63</v>
      </c>
      <c r="E2" s="9">
        <v>49.0</v>
      </c>
      <c r="F2" s="9">
        <f t="shared" ref="F2:F3" si="1">G2+H2</f>
        <v>42</v>
      </c>
      <c r="G2" s="9">
        <v>37.0</v>
      </c>
      <c r="H2" s="9">
        <v>5.0</v>
      </c>
      <c r="I2" s="9">
        <v>3.0</v>
      </c>
      <c r="J2" s="9">
        <v>4.0</v>
      </c>
      <c r="K2" s="11">
        <f t="shared" ref="K2:K3" si="2">IF(F2=0,"",G2/F2)</f>
        <v>0.880952381</v>
      </c>
      <c r="L2" s="11">
        <f t="shared" ref="L2:L3" si="3">IF(F2=0,"",H2/F2)</f>
        <v>0.119047619</v>
      </c>
      <c r="M2" s="1" t="s">
        <v>84</v>
      </c>
      <c r="N2" s="7" t="s">
        <v>85</v>
      </c>
      <c r="O2" s="7" t="s">
        <v>65</v>
      </c>
    </row>
    <row r="3" ht="72.0" customHeight="1">
      <c r="A3" s="7" t="s">
        <v>86</v>
      </c>
      <c r="B3" s="8">
        <v>46314.0</v>
      </c>
      <c r="C3" s="7">
        <v>43.0</v>
      </c>
      <c r="D3" s="7" t="s">
        <v>88</v>
      </c>
      <c r="E3" s="9">
        <v>48.0</v>
      </c>
      <c r="F3" s="9">
        <f t="shared" si="1"/>
        <v>39</v>
      </c>
      <c r="G3" s="9">
        <v>37.0</v>
      </c>
      <c r="H3" s="9">
        <v>2.0</v>
      </c>
      <c r="I3" s="9">
        <v>5.0</v>
      </c>
      <c r="J3" s="9">
        <v>4.0</v>
      </c>
      <c r="K3" s="11">
        <f t="shared" si="2"/>
        <v>0.9487179487</v>
      </c>
      <c r="L3" s="11">
        <f t="shared" si="3"/>
        <v>0.05128205128</v>
      </c>
      <c r="M3" s="1" t="s">
        <v>84</v>
      </c>
      <c r="N3" s="7" t="s">
        <v>94</v>
      </c>
      <c r="O3" s="7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9E6236E-F24F-47A1-9FFB-399E325A4E3B}" filter="1" showAutoFilter="1">
      <autoFilter ref="$A$1:$O$3"/>
    </customSheetView>
  </customSheetViews>
  <dataValidations>
    <dataValidation type="custom" allowBlank="1" showDropDown="1" sqref="B2:B3">
      <formula1>OR(NOT(ISERROR(DATEVALUE(B2))), AND(ISNUMBER(B2), LEFT(CELL("format", B2))="D"))</formula1>
    </dataValidation>
    <dataValidation type="list" allowBlank="1" showErrorMessage="1" sqref="M2:M3">
      <formula1>"Inte godkänd,Godkänd"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75"/>
    <col customWidth="1" min="2" max="2" width="43.75"/>
    <col customWidth="1" min="3" max="3" width="12.5"/>
    <col customWidth="1" min="4" max="4" width="11.25"/>
    <col customWidth="1" min="5" max="5" width="15.0"/>
    <col customWidth="1" min="6" max="6" width="18.75"/>
    <col customWidth="1" min="7" max="7" width="16.25"/>
    <col customWidth="1" min="8" max="8" width="13.13"/>
    <col customWidth="1" min="9" max="9" width="50.0"/>
    <col customWidth="1" min="10" max="10" width="43.75"/>
    <col customWidth="1" min="11" max="11" width="37.5"/>
    <col customWidth="1" min="12" max="26" width="8.63"/>
  </cols>
  <sheetData>
    <row r="1" ht="36.0" customHeight="1">
      <c r="A1" s="6" t="s">
        <v>101</v>
      </c>
      <c r="B1" s="6" t="s">
        <v>102</v>
      </c>
      <c r="C1" s="6" t="s">
        <v>103</v>
      </c>
      <c r="D1" s="6" t="s">
        <v>104</v>
      </c>
      <c r="E1" s="6" t="s">
        <v>23</v>
      </c>
      <c r="F1" s="6" t="s">
        <v>105</v>
      </c>
      <c r="G1" s="6" t="s">
        <v>6</v>
      </c>
      <c r="H1" s="6" t="s">
        <v>106</v>
      </c>
      <c r="I1" s="6" t="s">
        <v>107</v>
      </c>
      <c r="J1" s="6" t="s">
        <v>108</v>
      </c>
      <c r="K1" s="6" t="s">
        <v>109</v>
      </c>
    </row>
    <row r="2" ht="72.0" customHeight="1">
      <c r="A2" s="7" t="s">
        <v>110</v>
      </c>
      <c r="B2" s="7" t="s">
        <v>111</v>
      </c>
      <c r="C2" s="1" t="s">
        <v>112</v>
      </c>
      <c r="D2" s="1" t="s">
        <v>113</v>
      </c>
      <c r="E2" s="1" t="s">
        <v>114</v>
      </c>
      <c r="F2" s="1" t="s">
        <v>115</v>
      </c>
      <c r="G2" s="7" t="s">
        <v>49</v>
      </c>
      <c r="H2" s="8">
        <v>46314.0</v>
      </c>
      <c r="I2" s="7" t="s">
        <v>116</v>
      </c>
      <c r="J2" s="12" t="s">
        <v>117</v>
      </c>
      <c r="K2" s="7" t="s">
        <v>118</v>
      </c>
    </row>
    <row r="3" ht="72.0" customHeight="1">
      <c r="A3" s="7" t="s">
        <v>119</v>
      </c>
      <c r="B3" s="7" t="s">
        <v>120</v>
      </c>
      <c r="C3" s="1" t="s">
        <v>121</v>
      </c>
      <c r="D3" s="1" t="s">
        <v>113</v>
      </c>
      <c r="E3" s="1" t="s">
        <v>114</v>
      </c>
      <c r="F3" s="1" t="s">
        <v>115</v>
      </c>
      <c r="G3" s="7" t="s">
        <v>49</v>
      </c>
      <c r="H3" s="8">
        <v>46314.0</v>
      </c>
      <c r="I3" s="7" t="s">
        <v>124</v>
      </c>
      <c r="J3" s="12" t="s">
        <v>125</v>
      </c>
      <c r="K3" s="7" t="s">
        <v>118</v>
      </c>
    </row>
    <row r="4" ht="72.0" customHeight="1">
      <c r="A4" s="7" t="s">
        <v>133</v>
      </c>
      <c r="B4" s="7" t="s">
        <v>134</v>
      </c>
      <c r="C4" s="1" t="s">
        <v>112</v>
      </c>
      <c r="D4" s="1" t="s">
        <v>113</v>
      </c>
      <c r="E4" s="1" t="s">
        <v>114</v>
      </c>
      <c r="F4" s="1" t="s">
        <v>115</v>
      </c>
      <c r="G4" s="7" t="s">
        <v>49</v>
      </c>
      <c r="H4" s="8">
        <v>46314.0</v>
      </c>
      <c r="I4" s="7" t="s">
        <v>138</v>
      </c>
      <c r="J4" s="12" t="s">
        <v>139</v>
      </c>
      <c r="K4" s="7" t="s">
        <v>118</v>
      </c>
    </row>
    <row r="5" ht="72.0" customHeight="1">
      <c r="A5" s="7" t="s">
        <v>142</v>
      </c>
      <c r="B5" s="7" t="s">
        <v>143</v>
      </c>
      <c r="C5" s="1" t="s">
        <v>121</v>
      </c>
      <c r="D5" s="1" t="s">
        <v>113</v>
      </c>
      <c r="E5" s="1" t="s">
        <v>114</v>
      </c>
      <c r="F5" s="1" t="s">
        <v>115</v>
      </c>
      <c r="G5" s="7" t="s">
        <v>49</v>
      </c>
      <c r="H5" s="8">
        <v>46314.0</v>
      </c>
      <c r="I5" s="7" t="s">
        <v>145</v>
      </c>
      <c r="J5" s="12" t="s">
        <v>146</v>
      </c>
      <c r="K5" s="7" t="s">
        <v>118</v>
      </c>
    </row>
    <row r="6" ht="72.0" customHeight="1">
      <c r="A6" s="7" t="s">
        <v>149</v>
      </c>
      <c r="B6" s="7" t="s">
        <v>150</v>
      </c>
      <c r="C6" s="1" t="s">
        <v>121</v>
      </c>
      <c r="D6" s="1" t="s">
        <v>113</v>
      </c>
      <c r="E6" s="1" t="s">
        <v>114</v>
      </c>
      <c r="F6" s="1" t="s">
        <v>115</v>
      </c>
      <c r="G6" s="7" t="s">
        <v>86</v>
      </c>
      <c r="H6" s="8">
        <v>46314.0</v>
      </c>
      <c r="I6" s="7" t="s">
        <v>152</v>
      </c>
      <c r="J6" s="12" t="s">
        <v>153</v>
      </c>
      <c r="K6" s="7" t="s">
        <v>158</v>
      </c>
    </row>
    <row r="7" ht="72.0" customHeight="1">
      <c r="A7" s="7" t="s">
        <v>159</v>
      </c>
      <c r="B7" s="7" t="s">
        <v>161</v>
      </c>
      <c r="C7" s="1" t="s">
        <v>112</v>
      </c>
      <c r="D7" s="1" t="s">
        <v>113</v>
      </c>
      <c r="E7" s="1" t="s">
        <v>114</v>
      </c>
      <c r="F7" s="1" t="s">
        <v>115</v>
      </c>
      <c r="G7" s="7" t="s">
        <v>86</v>
      </c>
      <c r="H7" s="8">
        <v>46314.0</v>
      </c>
      <c r="I7" s="7" t="s">
        <v>165</v>
      </c>
      <c r="J7" s="12" t="s">
        <v>166</v>
      </c>
      <c r="K7" s="7" t="s">
        <v>167</v>
      </c>
    </row>
    <row r="8" ht="72.0" customHeight="1">
      <c r="A8" s="7" t="s">
        <v>169</v>
      </c>
      <c r="B8" s="7" t="s">
        <v>171</v>
      </c>
      <c r="C8" s="1" t="s">
        <v>112</v>
      </c>
      <c r="D8" s="1" t="s">
        <v>113</v>
      </c>
      <c r="E8" s="1" t="s">
        <v>114</v>
      </c>
      <c r="F8" s="1" t="s">
        <v>174</v>
      </c>
      <c r="G8" s="7" t="s">
        <v>49</v>
      </c>
      <c r="H8" s="8">
        <v>46314.0</v>
      </c>
      <c r="I8" s="7" t="s">
        <v>175</v>
      </c>
      <c r="J8" s="12" t="s">
        <v>176</v>
      </c>
      <c r="K8" s="7" t="s">
        <v>177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4FF50AE-E60A-4710-A2CD-277D90C24C01}" filter="1" showAutoFilter="1">
      <autoFilter ref="$A$1:$K$8"/>
    </customSheetView>
  </customSheetViews>
  <dataValidations>
    <dataValidation type="list" allowBlank="1" showErrorMessage="1" sqref="C2:C8">
      <formula1>"Critical,High,Medium,Low"</formula1>
    </dataValidation>
    <dataValidation type="list" allowBlank="1" showErrorMessage="1" sqref="F2:F8">
      <formula1>"Ny,Tidigare känt"</formula1>
    </dataValidation>
    <dataValidation type="custom" allowBlank="1" showDropDown="1" sqref="H2:H8">
      <formula1>OR(NOT(ISERROR(DATEVALUE(H2))), AND(ISNUMBER(H2), LEFT(CELL("format", H2))="D"))</formula1>
    </dataValidation>
    <dataValidation type="list" allowBlank="1" showErrorMessage="1" sqref="D2:D8">
      <formula1>"P1,P2,P3"</formula1>
    </dataValidation>
    <dataValidation type="list" allowBlank="1" showErrorMessage="1" sqref="E2:E8">
      <formula1>"Öppen,Under arbete,Rättad,Stängd"</formula1>
    </dataValidation>
  </dataValidations>
  <hyperlinks>
    <hyperlink r:id="rId1" location="app-001--ett-arbetsflöde-kan-skapas-med-bara-blanksteg" ref="J2"/>
    <hyperlink r:id="rId2" location="app-002--domänmodellens-verktygsfält-överlappar-på-smal-skärm" ref="J3"/>
    <hyperlink r:id="rId3" location="app-003--villkorslänken-ger-404-från-en-händelses-detaljadress" ref="J4"/>
    <hyperlink r:id="rId4" location="app-004--fyra-ikonknappar-saknar-tillgängligt-namn" ref="J5"/>
    <hyperlink r:id="rId5" location="app-005--snabb-namnändring-följd-av-add-lane-tappar-den-nya-banan" ref="J6"/>
    <hyperlink r:id="rId6" location="app-006--csv-förhandsvisningen-tar-bort-gränsen-mellan-två-textrader" ref="J7"/>
    <hyperlink r:id="rId7" location="qw-001--qlerifycomlogin-visar-page-not-found" ref="J8"/>
  </hyperlinks>
  <printOptions/>
  <pageMargins bottom="0.75" footer="0.0" header="0.0" left="0.7" right="0.7" top="0.75"/>
  <pageSetup orientation="landscape"/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25"/>
    <col customWidth="1" min="2" max="2" width="41.25"/>
    <col customWidth="1" min="3" max="3" width="21.25"/>
    <col customWidth="1" min="4" max="4" width="13.13"/>
    <col customWidth="1" min="5" max="5" width="81.25"/>
    <col customWidth="1" min="6" max="6" width="53.75"/>
    <col customWidth="1" min="7" max="26" width="8.63"/>
  </cols>
  <sheetData>
    <row r="1" ht="36.0" customHeight="1">
      <c r="A1" s="6" t="s">
        <v>122</v>
      </c>
      <c r="B1" s="6" t="s">
        <v>123</v>
      </c>
      <c r="C1" s="6" t="s">
        <v>126</v>
      </c>
      <c r="D1" s="6" t="s">
        <v>12</v>
      </c>
      <c r="E1" s="6" t="s">
        <v>127</v>
      </c>
      <c r="F1" s="6" t="s">
        <v>128</v>
      </c>
    </row>
    <row r="2" ht="72.0" customHeight="1">
      <c r="A2" s="7" t="s">
        <v>129</v>
      </c>
      <c r="B2" s="7" t="s">
        <v>130</v>
      </c>
      <c r="C2" s="7" t="s">
        <v>131</v>
      </c>
      <c r="D2" s="8">
        <v>46314.0</v>
      </c>
      <c r="E2" s="12" t="s">
        <v>132</v>
      </c>
      <c r="F2" s="7" t="s">
        <v>135</v>
      </c>
    </row>
    <row r="3" ht="72.0" customHeight="1">
      <c r="A3" s="7" t="s">
        <v>65</v>
      </c>
      <c r="B3" s="7" t="s">
        <v>136</v>
      </c>
      <c r="C3" s="7" t="s">
        <v>131</v>
      </c>
      <c r="D3" s="8">
        <v>46314.0</v>
      </c>
      <c r="E3" s="12" t="s">
        <v>137</v>
      </c>
      <c r="F3" s="7" t="s">
        <v>140</v>
      </c>
    </row>
    <row r="4" ht="72.0" customHeight="1">
      <c r="A4" s="7" t="s">
        <v>83</v>
      </c>
      <c r="B4" s="7" t="s">
        <v>141</v>
      </c>
      <c r="C4" s="7" t="s">
        <v>131</v>
      </c>
      <c r="D4" s="8">
        <v>46314.0</v>
      </c>
      <c r="E4" s="12" t="s">
        <v>144</v>
      </c>
      <c r="F4" s="7" t="s">
        <v>147</v>
      </c>
    </row>
    <row r="5" ht="72.0" customHeight="1">
      <c r="A5" s="7" t="s">
        <v>93</v>
      </c>
      <c r="B5" s="7" t="s">
        <v>148</v>
      </c>
      <c r="C5" s="7" t="s">
        <v>131</v>
      </c>
      <c r="D5" s="8">
        <v>46314.0</v>
      </c>
      <c r="E5" s="12" t="s">
        <v>151</v>
      </c>
      <c r="F5" s="7" t="s">
        <v>154</v>
      </c>
    </row>
    <row r="6" ht="72.0" customHeight="1">
      <c r="A6" s="7" t="s">
        <v>155</v>
      </c>
      <c r="B6" s="7" t="s">
        <v>156</v>
      </c>
      <c r="C6" s="7" t="s">
        <v>131</v>
      </c>
      <c r="D6" s="8">
        <v>46314.0</v>
      </c>
      <c r="E6" s="12" t="s">
        <v>157</v>
      </c>
      <c r="F6" s="7" t="s">
        <v>160</v>
      </c>
    </row>
    <row r="7" ht="72.0" customHeight="1">
      <c r="A7" s="7" t="s">
        <v>162</v>
      </c>
      <c r="B7" s="7" t="s">
        <v>163</v>
      </c>
      <c r="C7" s="7" t="s">
        <v>131</v>
      </c>
      <c r="D7" s="8">
        <v>46314.0</v>
      </c>
      <c r="E7" s="12" t="s">
        <v>164</v>
      </c>
      <c r="F7" s="7" t="s">
        <v>168</v>
      </c>
    </row>
    <row r="8" ht="72.0" customHeight="1">
      <c r="A8" s="7" t="s">
        <v>170</v>
      </c>
      <c r="B8" s="7" t="s">
        <v>172</v>
      </c>
      <c r="C8" s="7" t="s">
        <v>173</v>
      </c>
      <c r="D8" s="8">
        <v>46317.0</v>
      </c>
      <c r="E8" s="12" t="s">
        <v>61</v>
      </c>
      <c r="F8" s="7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05E9EC9-E923-43D3-9889-FE78802F832E}" filter="1" showAutoFilter="1">
      <autoFilter ref="$A$1:$F$8"/>
    </customSheetView>
  </customSheetViews>
  <dataValidations>
    <dataValidation type="custom" allowBlank="1" showDropDown="1" sqref="D2:D8">
      <formula1>OR(NOT(ISERROR(DATEVALUE(D2))), AND(ISNUMBER(D2), LEFT(CELL("format", D2))="D"))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printOptions/>
  <pageMargins bottom="0.75" footer="0.0" header="0.0" left="0.7" right="0.7" top="0.75"/>
  <pageSetup orientation="landscape"/>
  <drawing r:id="rId8"/>
  <tableParts count="1">
    <tablePart r:id="rId10"/>
  </tableParts>
</worksheet>
</file>