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82add3093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versikt" sheetId="1" r:id="R3c98ef89cdb64454"/>
    <x:sheet xmlns:r="http://schemas.openxmlformats.org/officeDocument/2006/relationships" name="Daglogg" sheetId="2" r:id="R4586a82176674da6"/>
    <x:sheet xmlns:r="http://schemas.openxmlformats.org/officeDocument/2006/relationships" name="Veckologg" sheetId="3" r:id="R5c84034cf67c4114"/>
    <x:sheet xmlns:r="http://schemas.openxmlformats.org/officeDocument/2006/relationships" name="Testomgångar" sheetId="4" r:id="R3a1e37baeb5e4b21"/>
    <x:sheet xmlns:r="http://schemas.openxmlformats.org/officeDocument/2006/relationships" name="Buggar" sheetId="5" r:id="Rb13d274c63214cfe"/>
    <x:sheet xmlns:r="http://schemas.openxmlformats.org/officeDocument/2006/relationships" name="Källor" sheetId="6" r:id="R0dda6e38a9c0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%"/>
  </x:numFmts>
  <x:fonts count="4">
    <x:font>
      <x:sz val="11"/>
      <x:name val="Carlito"/>
    </x:font>
    <x:font>
      <x:sz val="11"/>
      <x:color rgb="FF202124"/>
      <x:name val="Arial"/>
    </x:font>
    <x:font>
      <x:b/>
      <x:sz val="11"/>
      <x:color rgb="FF202124"/>
      <x:name val="Arial"/>
    </x:font>
    <x:font>
      <x:b/>
      <x:sz val="15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ad0ecf24c4ff3" /><Relationship Type="http://schemas.openxmlformats.org/officeDocument/2006/relationships/theme" Target="/xl/theme/theme1.xml" Id="R11e0197b8df84fdf" /><Relationship Type="http://schemas.openxmlformats.org/officeDocument/2006/relationships/sharedStrings" Target="/xl/sharedStrings.xml" Id="R51f67016c0054c9a" /><Relationship Type="http://schemas.openxmlformats.org/officeDocument/2006/relationships/worksheet" Target="/xl/worksheets/sheet1.xml" Id="R3c98ef89cdb64454" /><Relationship Type="http://schemas.openxmlformats.org/officeDocument/2006/relationships/worksheet" Target="/xl/worksheets/sheet2.xml" Id="R4586a82176674da6" /><Relationship Type="http://schemas.openxmlformats.org/officeDocument/2006/relationships/worksheet" Target="/xl/worksheets/sheet3.xml" Id="R5c84034cf67c4114" /><Relationship Type="http://schemas.openxmlformats.org/officeDocument/2006/relationships/worksheet" Target="/xl/worksheets/sheet4.xml" Id="R3a1e37baeb5e4b21" /><Relationship Type="http://schemas.openxmlformats.org/officeDocument/2006/relationships/worksheet" Target="/xl/worksheets/sheet5.xml" Id="Rb13d274c63214cfe" /><Relationship Type="http://schemas.openxmlformats.org/officeDocument/2006/relationships/worksheet" Target="/xl/worksheets/sheet6.xml" Id="R0dda6e38a9c04180" /></Relationships>
</file>

<file path=xl/tables/table1.xml><?xml version="1.0" encoding="utf-8"?>
<x:table xmlns:x="http://schemas.openxmlformats.org/spreadsheetml/2006/main" id="1" name="DagloggTabell" displayName="DagloggTabell" ref="A1:I5" headerRowCount="1" totalsRowCount="0" totalsRowShown="0">
  <x:autoFilter ref="A1:I5"/>
  <x:tableColumns count="9">
    <x:tableColumn id="1" name="Logg-ID"/>
    <x:tableColumn id="2" name="Datum"/>
    <x:tableColumn id="3" name="Vecka"/>
    <x:tableColumn id="4" name="Arbetstyp"/>
    <x:tableColumn id="5" name="Utfört arbete"/>
    <x:tableColumn id="6" name="Dokumenterat resultat"/>
    <x:tableColumn id="7" name="Lärdom / avgränsning"/>
    <x:tableColumn id="8" name="Status"/>
    <x:tableColumn id="9" name="Källa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VeckologgTabell" displayName="VeckologgTabell" ref="A1:J2" headerRowCount="1" totalsRowCount="0" totalsRowShown="0">
  <x:autoFilter ref="A1:J2"/>
  <x:tableColumns count="10">
    <x:tableColumn id="1" name="År"/>
    <x:tableColumn id="2" name="Vecka"/>
    <x:tableColumn id="3" name="Veckostart"/>
    <x:tableColumn id="4" name="Veckoslut"/>
    <x:tableColumn id="5" name="Status"/>
    <x:tableColumn id="6" name="Dokumenterat arbete"/>
    <x:tableColumn id="7" name="Resultat"/>
    <x:tableColumn id="8" name="Kvarstående avgränsningar"/>
    <x:tableColumn id="9" name="Lärdom från underlaget"/>
    <x:tableColumn id="10" name="Källo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estomgangarTabell" displayName="TestomgangarTabell" ref="A1:O3" headerRowCount="1" totalsRowCount="0" totalsRowShown="0">
  <x:autoFilter ref="A1:O3"/>
  <x:tableColumns count="15">
    <x:tableColumn id="1" name="Omgång"/>
    <x:tableColumn id="2" name="Testdatum"/>
    <x:tableColumn id="3" name="Vecka"/>
    <x:tableColumn id="4" name="Observerad skriptresurs"/>
    <x:tableColumn id="5" name="Dokumenterade"/>
    <x:tableColumn id="6" name="Körda"/>
    <x:tableColumn id="7" name="Pass"/>
    <x:tableColumn id="8" name="Fail"/>
    <x:tableColumn id="9" name="Blockerade"/>
    <x:tableColumn id="10" name="Ej körda"/>
    <x:tableColumn id="11" name="Passandel"/>
    <x:tableColumn id="12" name="Failandel"/>
    <x:tableColumn id="13" name="Beslut"/>
    <x:tableColumn id="14" name="Testad omfattning"/>
    <x:tableColumn id="15" name="Källa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BuggarTabell" displayName="BuggarTabell" ref="A1:K8" headerRowCount="1" totalsRowCount="0" totalsRowShown="0">
  <x:autoFilter ref="A1:K8"/>
  <x:tableColumns count="11">
    <x:tableColumn id="1" name="Bugg-ID"/>
    <x:tableColumn id="2" name="Titel"/>
    <x:tableColumn id="3" name="Severity"/>
    <x:tableColumn id="4" name="Prioritet"/>
    <x:tableColumn id="5" name="Status"/>
    <x:tableColumn id="6" name="Ny / tidigare"/>
    <x:tableColumn id="7" name="Omgång"/>
    <x:tableColumn id="8" name="Rapportdatum"/>
    <x:tableColumn id="9" name="Påverkan"/>
    <x:tableColumn id="10" name="Källa / bevis"/>
    <x:tableColumn id="11" name="Omtest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KallorTabell" displayName="KallorTabell" ref="A1:F8" headerRowCount="1" totalsRowCount="0" totalsRowShown="0">
  <x:autoFilter ref="A1:F8"/>
  <x:tableColumns count="6">
    <x:tableColumn id="1" name="Käll-ID"/>
    <x:tableColumn id="2" name="Underlag"/>
    <x:tableColumn id="3" name="Typ"/>
    <x:tableColumn id="4" name="Datum"/>
    <x:tableColumn id="5" name="Länk"/>
    <x:tableColumn id="6" name="Vad länken visa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9c599617e84d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afbb06ea594e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c398c5c00544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7954a20d484e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485ba9e8604740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2.5" hidden="0" customWidth="1"/>
    <x:col min="2" max="2" width="71.25" hidden="0" customWidth="1"/>
    <x:col min="3" max="3" width="37.5" hidden="0" customWidth="1"/>
    <x:col min="4" max="4" width="40" hidden="0" customWidth="1"/>
  </x:cols>
  <x:sheetData>
    <x:row r="1" ht="30" customHeight="1">
      <x:c r="A1" s="3"/>
      <x:c r="B1" s="3"/>
      <x:c r="C1" s="3"/>
      <x:c r="D1" s="3"/>
    </x:row>
    <x:row r="2" ht="30" customHeight="1">
      <x:c r="A2" s="10" t="str">
        <x:v>Qlerify QA – Logg och testresultat</x:v>
      </x:c>
      <x:c r="B2" s="3"/>
      <x:c r="C2" s="3"/>
      <x:c r="D2" s="3"/>
    </x:row>
    <x:row r="3" ht="30" customHeight="1">
      <x:c r="A3" s="3"/>
      <x:c r="B3" s="3"/>
      <x:c r="C3" s="3"/>
      <x:c r="D3" s="3"/>
    </x:row>
    <x:row r="4" ht="30" customHeight="1">
      <x:c r="A4" s="3" t="str">
        <x:v>Sammanställd</x:v>
      </x:c>
      <x:c r="B4" s="7" t="n">
        <x:v>46317</x:v>
      </x:c>
      <x:c r="C4" s="3"/>
      <x:c r="D4" s="3"/>
    </x:row>
    <x:row r="5" ht="30" customHeight="1">
      <x:c r="A5" s="3" t="str">
        <x:v>QA-ansvarig</x:v>
      </x:c>
      <x:c r="B5" s="3" t="str">
        <x:v>Ali Reza Hezareh</x:v>
      </x:c>
      <x:c r="C5" s="3"/>
      <x:c r="D5" s="3"/>
    </x:row>
    <x:row r="6" ht="30" customHeight="1">
      <x:c r="A6" s="3" t="str">
        <x:v>Vecka</x:v>
      </x:c>
      <x:c r="B6" s="3" t="str">
        <x:v>2026, vecka 43 – pågående</x:v>
      </x:c>
      <x:c r="C6" s="3"/>
      <x:c r="D6" s="3"/>
    </x:row>
    <x:row r="7" ht="30" customHeight="1">
      <x:c r="A7" s="3"/>
      <x:c r="B7" s="3"/>
      <x:c r="C7" s="3"/>
      <x:c r="D7" s="3"/>
    </x:row>
    <x:row r="8" ht="30" customHeight="1">
      <x:c r="A8" s="5" t="str">
        <x:v>Omgång</x:v>
      </x:c>
      <x:c r="B8" s="5" t="str">
        <x:v>Körda</x:v>
      </x:c>
      <x:c r="C8" s="5" t="str">
        <x:v>Pass</x:v>
      </x:c>
      <x:c r="D8" s="5" t="str">
        <x:v>Fail</x:v>
      </x:c>
    </x:row>
    <x:row r="9" ht="30" customHeight="1">
      <x:c r="A9" s="3" t="str">
        <x:f>'Testomgångar'!A2</x:f>
        <x:v>Omgång 1</x:v>
      </x:c>
      <x:c r="B9" s="3" t="n">
        <x:f>'Testomgångar'!F2</x:f>
        <x:v>42</x:v>
      </x:c>
      <x:c r="C9" s="3" t="n">
        <x:f>'Testomgångar'!G2</x:f>
        <x:v>37</x:v>
      </x:c>
      <x:c r="D9" s="3" t="n">
        <x:f>'Testomgångar'!H2</x:f>
        <x:v>5</x:v>
      </x:c>
    </x:row>
    <x:row r="10" ht="30" customHeight="1">
      <x:c r="A10" s="3" t="str">
        <x:f>'Testomgångar'!A3</x:f>
        <x:v>Omgång 2</x:v>
      </x:c>
      <x:c r="B10" s="3" t="n">
        <x:f>'Testomgångar'!F3</x:f>
        <x:v>39</x:v>
      </x:c>
      <x:c r="C10" s="3" t="n">
        <x:f>'Testomgångar'!G3</x:f>
        <x:v>37</x:v>
      </x:c>
      <x:c r="D10" s="3" t="n">
        <x:f>'Testomgångar'!H3</x:f>
        <x:v>2</x:v>
      </x:c>
    </x:row>
    <x:row r="11" ht="30" customHeight="1">
      <x:c r="A11" s="3"/>
      <x:c r="B11" s="3"/>
      <x:c r="C11" s="3"/>
      <x:c r="D11" s="3"/>
    </x:row>
    <x:row r="12" ht="30" customHeight="1">
      <x:c r="A12" s="3" t="str">
        <x:v>Distinkta dokumenterade fel</x:v>
      </x:c>
      <x:c r="B12" s="3" t="n">
        <x:f>COUNTA('Buggar'!A2:A1000)</x:f>
        <x:v>7</x:v>
      </x:c>
      <x:c r="C12" s="3" t="str">
        <x:v>Sex nya fel och ett tidigare känt.</x:v>
      </x:c>
      <x:c r="D12" s="3" t="str">
        <x:v>Ingen godkänd release.</x:v>
      </x:c>
    </x:row>
    <x:row r="13" ht="30" customHeight="1">
      <x:c r="A13" s="3"/>
      <x:c r="B13" s="3"/>
      <x:c r="C13" s="3"/>
      <x:c r="D13" s="3"/>
    </x:row>
    <x:row r="14" ht="30" customHeight="1">
      <x:c r="A14" s="5" t="str">
        <x:v>Definition</x:v>
      </x:c>
      <x:c r="B14" s="5" t="str">
        <x:v>Tolkning</x:v>
      </x:c>
      <x:c r="C14" s="3"/>
      <x:c r="D14" s="3"/>
    </x:row>
    <x:row r="15" ht="58" customHeight="1">
      <x:c r="A15" s="3" t="str">
        <x:v>Pass</x:v>
      </x:c>
      <x:c r="B15" s="3" t="str">
        <x:v>Det förväntade resultatet för just den dokumenterade kontrollen uppfylldes.</x:v>
      </x:c>
      <x:c r="C15" s="3"/>
      <x:c r="D15" s="3"/>
    </x:row>
    <x:row r="16" ht="58" customHeight="1">
      <x:c r="A16" s="3" t="str">
        <x:v>Fail</x:v>
      </x:c>
      <x:c r="B16" s="3" t="str">
        <x:v>En dokumenterad avvikelse från kontrollens förväntade resultat observerades.</x:v>
      </x:c>
      <x:c r="C16" s="3"/>
      <x:c r="D16" s="3"/>
    </x:row>
    <x:row r="17" ht="58" customHeight="1">
      <x:c r="A17" s="3" t="str">
        <x:v>Blockerat</x:v>
      </x:c>
      <x:c r="B17" s="3" t="str">
        <x:v>Kontrollen saknar slutligt produktresultat på grund av angivet hinder.</x:v>
      </x:c>
      <x:c r="C17" s="3"/>
      <x:c r="D17" s="3"/>
    </x:row>
    <x:row r="18" ht="58" customHeight="1">
      <x:c r="A18" s="3" t="str">
        <x:v>Ej körda</x:v>
      </x:c>
      <x:c r="B18" s="3" t="str">
        <x:v>Kontrollen genomfördes inte.</x:v>
      </x:c>
      <x:c r="C18" s="3"/>
      <x:c r="D18" s="3"/>
    </x:row>
    <x:row r="19" ht="58" customHeight="1">
      <x:c r="A19" s="3" t="str">
        <x:v>Körda</x:v>
      </x:c>
      <x:c r="B19" s="3" t="str">
        <x:v>Pass + Fail inom samma omgång. Blockerade och ej körda ingår inte.</x:v>
      </x:c>
      <x:c r="C19" s="3"/>
      <x:c r="D19" s="3"/>
    </x:row>
    <x:row r="20" ht="58" customHeight="1">
      <x:c r="A20" s="3" t="str">
        <x:v>Passandel / Failandel</x:v>
      </x:c>
      <x:c r="B20" s="3" t="str">
        <x:v>Antal Pass eller Fail delat med körda kontroller i samma omgång.</x:v>
      </x:c>
      <x:c r="C20" s="3"/>
      <x:c r="D20" s="3"/>
    </x:row>
    <x:row r="21" ht="58" customHeight="1">
      <x:c r="A21" s="3" t="str">
        <x:v>Två omgångar</x:v>
      </x:c>
      <x:c r="B21" s="3" t="str">
        <x:v>Resultaten ska inte summeras till antal unika tester eller generell testtäckning.</x:v>
      </x:c>
      <x:c r="C21" s="3"/>
      <x:c r="D21" s="3"/>
    </x:row>
    <x:row r="22" ht="58" customHeight="1">
      <x:c r="A22" s="3" t="str">
        <x:v>Skriptresurs</x:v>
      </x:c>
      <x:c r="B22" s="3" t="str">
        <x:v>En observerad resursfil, inte ett verifierat fullständigt byggnummer. Äldre fel omtestades inte i den andra resursversionen.</x:v>
      </x:c>
      <x:c r="C22" s="3"/>
      <x:c r="D22" s="3"/>
    </x:row>
    <x:row r="23" ht="58" customHeight="1">
      <x:c r="A23" s="3" t="str">
        <x:v>Fortsatt loggning</x:v>
      </x:c>
      <x:c r="B23" s="3" t="str">
        <x:v>Lägg en ny rad i Daglogg för dokumenterat arbete och en rad per vecka i Veckologg. Bevara tidigare källor och datum.</x:v>
      </x:c>
      <x:c r="C23" s="3"/>
      <x:c r="D23" s="3"/>
    </x:row>
    <x:row r="24" ht="58" customHeight="1">
      <x:c r="A24" s="3" t="str">
        <x:v>Rapportunderlag</x:v>
      </x:c>
      <x:c r="B24" s="3" t="str">
        <x:v>https://docs.google.com/document/d/1ojP28dH5XNDj-oowxUhK-xZ6c1tG0reOvhkMchx-Rls/edit?usp=drivesdk</x:v>
      </x:c>
      <x:c r="C24" s="3"/>
      <x:c r="D24" s="3"/>
    </x:row>
    <x:row r="25" ht="30" customHeight="1">
      <x:c r="A25" s="3"/>
      <x:c r="B25" s="3"/>
      <x:c r="C25" s="3"/>
      <x:c r="D25" s="3"/>
    </x:row>
    <x:row r="26" ht="80" customHeight="1">
      <x:c r="A26" s="3" t="str">
        <x:v>22 oktober</x:v>
      </x:c>
      <x:c r="B26" s="3" t="str">
        <x:v>Endast sammanställning och arkivering.</x:v>
      </x:c>
      <x:c r="C26" s="3" t="str">
        <x:v>Inga nya produkttester.</x:v>
      </x:c>
      <x:c r="D26" s="3" t="str">
        <x:v>Arbete den 20–21 oktober är inte dokumenterat här.</x:v>
      </x:c>
    </x:row>
    <x:row r="27" ht="80" customHeight="1">
      <x:c r="A27" s="3" t="str">
        <x:v>Avgränsning</x:v>
      </x:c>
      <x:c r="B27" s="3" t="str">
        <x:v>Filuppladdning och CSV-fil saknar verifierat resultat.</x:v>
      </x:c>
      <x:c r="C27" s="3" t="str">
        <x:v>Föreslagna nya testflöden har inte lagts till i testagenten.</x:v>
      </x:c>
      <x:c r="D27" s="3" t="str">
        <x:v>En äldre Gitrot i D:\LIA 2 finns kvar. Arbetsrepot är D:\LIA 2\code.</x:v>
      </x:c>
    </x:row>
    <x:row r="28" ht="30" customHeight="1">
      <x:c r="A28" s="3"/>
      <x:c r="B28" s="3"/>
      <x:c r="C28" s="3"/>
      <x:c r="D28" s="3"/>
    </x:row>
    <x:row r="29" ht="30" customHeight="1">
      <x:c r="A29" s="3"/>
      <x:c r="B29" s="3"/>
      <x:c r="C29" s="3"/>
      <x:c r="D29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1.25" hidden="0" customWidth="1"/>
    <x:col min="2" max="2" width="13.130000114440918" hidden="0" customWidth="1"/>
    <x:col min="3" max="3" width="8.130000114440918" hidden="0" customWidth="1"/>
    <x:col min="4" max="4" width="16.8799991607666" hidden="0" customWidth="1"/>
    <x:col min="5" max="5" width="43.75" hidden="0" customWidth="1"/>
    <x:col min="6" max="6" width="48.75" hidden="0" customWidth="1"/>
    <x:col min="7" max="7" width="48.75" hidden="0" customWidth="1"/>
    <x:col min="8" max="8" width="17.5" hidden="0" customWidth="1"/>
    <x:col min="9" max="9" width="16.25" hidden="0" customWidth="1"/>
  </x:cols>
  <x:sheetData>
    <x:row r="1" ht="36" customHeight="1">
      <x:c r="A1" s="6" t="str">
        <x:v>Logg-ID</x:v>
      </x:c>
      <x:c r="B1" s="6" t="str">
        <x:v>Datum</x:v>
      </x:c>
      <x:c r="C1" s="6" t="str">
        <x:v>Vecka</x:v>
      </x:c>
      <x:c r="D1" s="6" t="str">
        <x:v>Arbetstyp</x:v>
      </x:c>
      <x:c r="E1" s="6" t="str">
        <x:v>Utfört arbete</x:v>
      </x:c>
      <x:c r="F1" s="6" t="str">
        <x:v>Dokumenterat resultat</x:v>
      </x:c>
      <x:c r="G1" s="6" t="str">
        <x:v>Lärdom / avgränsning</x:v>
      </x:c>
      <x:c r="H1" s="6" t="str">
        <x:v>Status</x:v>
      </x:c>
      <x:c r="I1" s="6" t="str">
        <x:v>Källa</x:v>
      </x:c>
    </x:row>
    <x:row r="2" ht="72" customHeight="1">
      <x:c r="A2" s="3" t="str">
        <x:v>D-001</x:v>
      </x:c>
      <x:c r="B2" s="7" t="n">
        <x:v>46314</x:v>
      </x:c>
      <x:c r="C2" s="3" t="n">
        <x:v>43</x:v>
      </x:c>
      <x:c r="D2" s="3" t="str">
        <x:v>Testning</x:v>
      </x:c>
      <x:c r="E2" s="3" t="str">
        <x:v>Första utforskande appgranskningen: arbetsflöde, sparning, flikar, export och skrivskydd.</x:v>
      </x:c>
      <x:c r="F2" s="3" t="str">
        <x:v>49 kontrollpunkter. 42 körda: 37 Pass, 5 Fail. 3 blockerade och 4 ej körda.</x:v>
      </x:c>
      <x:c r="G2" s="3" t="str">
        <x:v>Ett godkänt resultat gäller bara den kontroll som dokumenterats. Serverbehörighet och full säkerhet testades inte.</x:v>
      </x:c>
      <x:c r="H2" s="3" t="str">
        <x:v>Dokumenterat</x:v>
      </x:c>
      <x:c r="I2" s="3" t="str">
        <x:v>S-002</x:v>
      </x:c>
    </x:row>
    <x:row r="3" ht="72" customHeight="1">
      <x:c r="A3" s="3" t="str">
        <x:v>D-002</x:v>
      </x:c>
      <x:c r="B3" s="7" t="n">
        <x:v>46314</x:v>
      </x:c>
      <x:c r="C3" s="3" t="n">
        <x:v>43</x:v>
      </x:c>
      <x:c r="D3" s="3" t="str">
        <x:v>Testning</x:v>
      </x:c>
      <x:c r="E3" s="3" t="str">
        <x:v>Andra granskningen i nytt QA-arbetsflöde: snabba ändringar, kort, releaser, fält och modellkopplingar.</x:v>
      </x:c>
      <x:c r="F3" s="3" t="str">
        <x:v>48 kontrollpunkter. 39 körda: 37 Pass, 2 Fail. 5 blockerade och 4 ej körda.</x:v>
      </x:c>
      <x:c r="G3" s="3" t="str">
        <x:v>CSV-förhandsvisning kan granskas separat från den exporterade filen. Filinnehållet blev inte verifierat.</x:v>
      </x:c>
      <x:c r="H3" s="3" t="str">
        <x:v>Dokumenterat</x:v>
      </x:c>
      <x:c r="I3" s="3" t="str">
        <x:v>S-003</x:v>
      </x:c>
    </x:row>
    <x:row r="4" ht="72" customHeight="1">
      <x:c r="A4" s="3" t="str">
        <x:v>D-003</x:v>
      </x:c>
      <x:c r="B4" s="7" t="n">
        <x:v>46314</x:v>
      </x:c>
      <x:c r="C4" s="3" t="n">
        <x:v>43</x:v>
      </x:c>
      <x:c r="D4" s="3" t="str">
        <x:v>Blockering</x:v>
      </x:c>
      <x:c r="E4" s="3" t="str">
        <x:v>Två testfiler skapades: qa-åäö.txt, 28 byte, och qa-empty.txt, 0 byte.</x:v>
      </x:c>
      <x:c r="F4" s="3" t="str">
        <x:v>Första filvalet stoppades före uppladdning. Ingen fil skickades. R2-041 är fortsatt Blocked.</x:v>
      </x:c>
      <x:c r="G4" s="3" t="str">
        <x:v>Kontroll av filnamn, innehåll och lagring efter uppladdning saknar resultat. Ingen produktbugg registrerades.</x:v>
      </x:c>
      <x:c r="H4" s="3" t="str">
        <x:v>Blockerat</x:v>
      </x:c>
      <x:c r="I4" s="3" t="str">
        <x:v>S-004</x:v>
      </x:c>
    </x:row>
    <x:row r="5" ht="72" customHeight="1">
      <x:c r="A5" s="3" t="str">
        <x:v>D-004</x:v>
      </x:c>
      <x:c r="B5" s="7" t="n">
        <x:v>46317</x:v>
      </x:c>
      <x:c r="C5" s="3" t="n">
        <x:v>43</x:v>
      </x:c>
      <x:c r="D5" s="3" t="str">
        <x:v>Dokumentation</x:v>
      </x:c>
      <x:c r="E5" s="3" t="str">
        <x:v>Sammanställde och arkiverade tidigare QA-resultat i logg och rapportunderlag.</x:v>
      </x:c>
      <x:c r="F5" s="3" t="str">
        <x:v>Inga nya produkttester genomfördes den 22 oktober. Resultaten kommer från den 19 oktober.</x:v>
      </x:c>
      <x:c r="G5" s="3" t="str">
        <x:v>Arbetsrepot är D:\LIA 2\code. En äldre Gitrot finns kvar i D:\LIA 2; den är inte avvecklad.</x:v>
      </x:c>
      <x:c r="H5" s="3" t="str">
        <x:v>Dokumenterat</x:v>
      </x:c>
      <x:c r="I5" s="3" t="str">
        <x:v>S-001, S-002, S-003, S-007</x:v>
      </x:c>
    </x:row>
  </x:sheetData>
  <x:dataValidations count="2">
    <x:dataValidation type="list" sqref="D2:D5">
      <x:formula1>"Testning,Dokumentation,Blockering"</x:formula1>
    </x:dataValidation>
    <x:dataValidation type="list" sqref="H2:H5">
      <x:formula1>"Dokumenterat,Pågående,Blockerat"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9c599617e84da2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8.75" hidden="0" customWidth="1"/>
    <x:col min="2" max="2" width="8.130000114440918" hidden="0" customWidth="1"/>
    <x:col min="3" max="3" width="13.130000114440918" hidden="0" customWidth="1"/>
    <x:col min="4" max="4" width="13.130000114440918" hidden="0" customWidth="1"/>
    <x:col min="5" max="5" width="17.5" hidden="0" customWidth="1"/>
    <x:col min="6" max="6" width="47.5" hidden="0" customWidth="1"/>
    <x:col min="7" max="7" width="50" hidden="0" customWidth="1"/>
    <x:col min="8" max="8" width="50" hidden="0" customWidth="1"/>
    <x:col min="9" max="9" width="47.5" hidden="0" customWidth="1"/>
    <x:col min="10" max="10" width="22.5" hidden="0" customWidth="1"/>
  </x:cols>
  <x:sheetData>
    <x:row r="1" ht="36" customHeight="1">
      <x:c r="A1" s="6" t="str">
        <x:v>År</x:v>
      </x:c>
      <x:c r="B1" s="6" t="str">
        <x:v>Vecka</x:v>
      </x:c>
      <x:c r="C1" s="6" t="str">
        <x:v>Veckostart</x:v>
      </x:c>
      <x:c r="D1" s="6" t="str">
        <x:v>Veckoslut</x:v>
      </x:c>
      <x:c r="E1" s="6" t="str">
        <x:v>Status</x:v>
      </x:c>
      <x:c r="F1" s="6" t="str">
        <x:v>Dokumenterat arbete</x:v>
      </x:c>
      <x:c r="G1" s="6" t="str">
        <x:v>Resultat</x:v>
      </x:c>
      <x:c r="H1" s="6" t="str">
        <x:v>Kvarstående avgränsningar</x:v>
      </x:c>
      <x:c r="I1" s="6" t="str">
        <x:v>Lärdom från underlaget</x:v>
      </x:c>
      <x:c r="J1" s="6" t="str">
        <x:v>Källor</x:v>
      </x:c>
    </x:row>
    <x:row r="2" ht="72" customHeight="1">
      <x:c r="A2" s="3" t="n">
        <x:v>2026</x:v>
      </x:c>
      <x:c r="B2" s="3" t="n">
        <x:v>43</x:v>
      </x:c>
      <x:c r="C2" s="7" t="n">
        <x:v>46314</x:v>
      </x:c>
      <x:c r="D2" s="7" t="n">
        <x:v>46320</x:v>
      </x:c>
      <x:c r="E2" s="3" t="str">
        <x:v>Pågående</x:v>
      </x:c>
      <x:c r="F2" s="3" t="str">
        <x:v>19/10: två utforskande testomgångar. 22/10: sammanställning och arkivering. Inga aktiviteter har registrerats för 20–21/10.</x:v>
      </x:c>
      <x:c r="G2" s="3" t="str">
        <x:v>Sju distinkta dokumenterade fel: sex nya APP-001–006 och det tidigare kända QW-001. Omgångarnas kontrollpunkter redovisas separat.</x:v>
      </x:c>
      <x:c r="H2" s="3" t="str">
        <x:v>Ingen godkänd release. Bilageuppladdning och CSV-filens innehåll saknar verifierat produktresultat. Roller, API, last och återställning är inte godkända.</x:v>
      </x:c>
      <x:c r="I2" s="3" t="str">
        <x:v>En nedladdningsknapp eller förhandsvisning bevisar inte filens innehåll. Ett UI-lås bevisar inte serverns behörighetskontroll.</x:v>
      </x:c>
      <x:c r="J2" s="3" t="str">
        <x:v>S-001, S-002, S-003, S-004</x:v>
      </x:c>
    </x:row>
  </x:sheetData>
  <x:dataValidations count="1">
    <x:dataValidation type="list" sqref="E2">
      <x:formula1>"Pågående,Avslutad"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afbb06ea594e2b"/>
  </x:tableParts>
</x:worksheet>
</file>

<file path=xl/worksheets/sheet4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16.25" hidden="0" customWidth="1"/>
    <x:col min="2" max="2" width="13.130000114440918" hidden="0" customWidth="1"/>
    <x:col min="3" max="3" width="8.130000114440918" hidden="0" customWidth="1"/>
    <x:col min="4" max="4" width="21.25" hidden="0" customWidth="1"/>
    <x:col min="5" max="5" width="15" hidden="0" customWidth="1"/>
    <x:col min="6" max="6" width="11.25" hidden="0" customWidth="1"/>
    <x:col min="7" max="7" width="10" hidden="0" customWidth="1"/>
    <x:col min="8" max="8" width="10" hidden="0" customWidth="1"/>
    <x:col min="9" max="9" width="13.75" hidden="0" customWidth="1"/>
    <x:col min="10" max="10" width="12.5" hidden="0" customWidth="1"/>
    <x:col min="11" max="11" width="13.75" hidden="0" customWidth="1"/>
    <x:col min="12" max="12" width="13.75" hidden="0" customWidth="1"/>
    <x:col min="13" max="13" width="17.5" hidden="0" customWidth="1"/>
    <x:col min="14" max="14" width="51.25" hidden="0" customWidth="1"/>
    <x:col min="15" max="15" width="11.25" hidden="0" customWidth="1"/>
  </x:cols>
  <x:sheetData>
    <x:row r="1" ht="36" customHeight="1">
      <x:c r="A1" s="6" t="str">
        <x:v>Omgång</x:v>
      </x:c>
      <x:c r="B1" s="6" t="str">
        <x:v>Testdatum</x:v>
      </x:c>
      <x:c r="C1" s="6" t="str">
        <x:v>Vecka</x:v>
      </x:c>
      <x:c r="D1" s="6" t="str">
        <x:v>Observerad skriptresurs</x:v>
      </x:c>
      <x:c r="E1" s="6" t="str">
        <x:v>Dokumenterade</x:v>
      </x:c>
      <x:c r="F1" s="6" t="str">
        <x:v>Körda</x:v>
      </x:c>
      <x:c r="G1" s="6" t="str">
        <x:v>Pass</x:v>
      </x:c>
      <x:c r="H1" s="6" t="str">
        <x:v>Fail</x:v>
      </x:c>
      <x:c r="I1" s="6" t="str">
        <x:v>Blockerade</x:v>
      </x:c>
      <x:c r="J1" s="6" t="str">
        <x:v>Ej körda</x:v>
      </x:c>
      <x:c r="K1" s="6" t="str">
        <x:v>Passandel</x:v>
      </x:c>
      <x:c r="L1" s="6" t="str">
        <x:v>Failandel</x:v>
      </x:c>
      <x:c r="M1" s="6" t="str">
        <x:v>Beslut</x:v>
      </x:c>
      <x:c r="N1" s="6" t="str">
        <x:v>Testad omfattning</x:v>
      </x:c>
      <x:c r="O1" s="6" t="str">
        <x:v>Källa</x:v>
      </x:c>
    </x:row>
    <x:row r="2" ht="72" customHeight="1">
      <x:c r="A2" s="3" t="str">
        <x:v>Omgång 1</x:v>
      </x:c>
      <x:c r="B2" s="7" t="n">
        <x:v>46314</x:v>
      </x:c>
      <x:c r="C2" s="3" t="n">
        <x:v>43</x:v>
      </x:c>
      <x:c r="D2" s="3" t="str">
        <x:v>app.b135f38b.js</x:v>
      </x:c>
      <x:c r="E2" s="8" t="n">
        <x:v>49</x:v>
      </x:c>
      <x:c r="F2" s="8" t="n">
        <x:f>G2+H2</x:f>
        <x:v>42</x:v>
      </x:c>
      <x:c r="G2" s="8" t="n">
        <x:v>37</x:v>
      </x:c>
      <x:c r="H2" s="8" t="n">
        <x:v>5</x:v>
      </x:c>
      <x:c r="I2" s="8" t="n">
        <x:v>3</x:v>
      </x:c>
      <x:c r="J2" s="8" t="n">
        <x:v>4</x:v>
      </x:c>
      <x:c r="K2" s="9" t="n">
        <x:f>IF(F2=0,"",G2/F2)</x:f>
        <x:v>0.8809523809523809</x:v>
      </x:c>
      <x:c r="L2" s="9" t="n">
        <x:f>IF(F2=0,"",H2/F2)</x:f>
        <x:v>0.11904761904761904</x:v>
      </x:c>
      <x:c r="M2" s="3" t="str">
        <x:v>Inte godkänd</x:v>
      </x:c>
      <x:c r="N2" s="3" t="str">
        <x:v>Skapande, validering, sparning, flikar, export, skrivskydd och layout.</x:v>
      </x:c>
      <x:c r="O2" s="3" t="str">
        <x:v>S-002</x:v>
      </x:c>
    </x:row>
    <x:row r="3" ht="72" customHeight="1">
      <x:c r="A3" s="3" t="str">
        <x:v>Omgång 2</x:v>
      </x:c>
      <x:c r="B3" s="7" t="n">
        <x:v>46314</x:v>
      </x:c>
      <x:c r="C3" s="3" t="n">
        <x:v>43</x:v>
      </x:c>
      <x:c r="D3" s="3" t="str">
        <x:v>app.9855aa4c.js</x:v>
      </x:c>
      <x:c r="E3" s="8" t="n">
        <x:v>48</x:v>
      </x:c>
      <x:c r="F3" s="8" t="n">
        <x:f>G3+H3</x:f>
        <x:v>39</x:v>
      </x:c>
      <x:c r="G3" s="8" t="n">
        <x:v>37</x:v>
      </x:c>
      <x:c r="H3" s="8" t="n">
        <x:v>2</x:v>
      </x:c>
      <x:c r="I3" s="8" t="n">
        <x:v>5</x:v>
      </x:c>
      <x:c r="J3" s="8" t="n">
        <x:v>4</x:v>
      </x:c>
      <x:c r="K3" s="9" t="n">
        <x:f>IF(F3=0,"",G3/F3)</x:f>
        <x:v>0.9487179487179487</x:v>
      </x:c>
      <x:c r="L3" s="9" t="n">
        <x:f>IF(F3=0,"",H3/F3)</x:f>
        <x:v>0.05128205128205128</x:v>
      </x:c>
      <x:c r="M3" s="3" t="str">
        <x:v>Inte godkänd</x:v>
      </x:c>
      <x:c r="N3" s="3" t="str">
        <x:v>Snabba ändringar, releaser, kort, entitetsfält, relationer, modellkopplingar och exportförhandsvisning.</x:v>
      </x:c>
      <x:c r="O3" s="3" t="str">
        <x:v>S-003</x:v>
      </x:c>
    </x:row>
  </x:sheetData>
  <x:dataValidations count="1">
    <x:dataValidation type="list" sqref="M2:M3">
      <x:formula1>"Inte godkänd,Godkänd"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c398c5c00544e0"/>
  </x:tableParts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3.75" hidden="0" customWidth="1"/>
    <x:col min="2" max="2" width="43.75" hidden="0" customWidth="1"/>
    <x:col min="3" max="3" width="12.5" hidden="0" customWidth="1"/>
    <x:col min="4" max="4" width="11.25" hidden="0" customWidth="1"/>
    <x:col min="5" max="5" width="15" hidden="0" customWidth="1"/>
    <x:col min="6" max="6" width="18.75" hidden="0" customWidth="1"/>
    <x:col min="7" max="7" width="16.25" hidden="0" customWidth="1"/>
    <x:col min="8" max="8" width="13.130000114440918" hidden="0" customWidth="1"/>
    <x:col min="9" max="9" width="50" hidden="0" customWidth="1"/>
    <x:col min="10" max="10" width="43.75" hidden="0" customWidth="1"/>
    <x:col min="11" max="11" width="37.5" hidden="0" customWidth="1"/>
  </x:cols>
  <x:sheetData>
    <x:row r="1" ht="36" customHeight="1">
      <x:c r="A1" s="6" t="str">
        <x:v>Bugg-ID</x:v>
      </x:c>
      <x:c r="B1" s="6" t="str">
        <x:v>Titel</x:v>
      </x:c>
      <x:c r="C1" s="6" t="str">
        <x:v>Severity</x:v>
      </x:c>
      <x:c r="D1" s="6" t="str">
        <x:v>Prioritet</x:v>
      </x:c>
      <x:c r="E1" s="6" t="str">
        <x:v>Status</x:v>
      </x:c>
      <x:c r="F1" s="6" t="str">
        <x:v>Ny / tidigare</x:v>
      </x:c>
      <x:c r="G1" s="6" t="str">
        <x:v>Omgång</x:v>
      </x:c>
      <x:c r="H1" s="6" t="str">
        <x:v>Rapportdatum</x:v>
      </x:c>
      <x:c r="I1" s="6" t="str">
        <x:v>Påverkan</x:v>
      </x:c>
      <x:c r="J1" s="6" t="str">
        <x:v>Källa / bevis</x:v>
      </x:c>
      <x:c r="K1" s="6" t="str">
        <x:v>Omtest</x:v>
      </x:c>
    </x:row>
    <x:row r="2" ht="72" customHeight="1">
      <x:c r="A2" s="3" t="str">
        <x:v>APP-001</x:v>
      </x:c>
      <x:c r="B2" s="3" t="str">
        <x:v>Arbetsflöde kan skapas med bara blanksteg</x:v>
      </x:c>
      <x:c r="C2" s="3" t="str">
        <x:v>Low</x:v>
      </x:c>
      <x:c r="D2" s="3" t="str">
        <x:v>P2</x:v>
      </x:c>
      <x:c r="E2" s="3" t="str">
        <x:v>Öppen</x:v>
      </x:c>
      <x:c r="F2" s="3" t="str">
        <x:v>Ny</x:v>
      </x:c>
      <x:c r="G2" s="3" t="str">
        <x:v>Omgång 1</x:v>
      </x:c>
      <x:c r="H2" s="7" t="n">
        <x:v>46314</x:v>
      </x:c>
      <x:c r="I2" s="3" t="str">
        <x:v>Arbetsflödet saknar synligt namn och blir svårt att identifiera.</x:v>
      </x:c>
      <x:c r="J2" s="3" t="str">
        <x:v>https://github.com/AliReza-Hezareh/qlerify-qa-testing/blob/4ba7e8fb81e5915a5e3d37a9a17cc5a3ca9012f2/qa/reports/exploratory-app-2026-10-19.md#app-001--ett-arbetsflöde-kan-skapas-med-bara-blanksteg</x:v>
      </x:c>
      <x:c r="K2" s="3" t="str">
        <x:v>Inte omtestad i omgång 2.</x:v>
      </x:c>
    </x:row>
    <x:row r="3" ht="72" customHeight="1">
      <x:c r="A3" s="3" t="str">
        <x:v>APP-002</x:v>
      </x:c>
      <x:c r="B3" s="3" t="str">
        <x:v>Verktygsfält överlappar på smal skärm</x:v>
      </x:c>
      <x:c r="C3" s="3" t="str">
        <x:v>Medium</x:v>
      </x:c>
      <x:c r="D3" s="3" t="str">
        <x:v>P2</x:v>
      </x:c>
      <x:c r="E3" s="3" t="str">
        <x:v>Öppen</x:v>
      </x:c>
      <x:c r="F3" s="3" t="str">
        <x:v>Ny</x:v>
      </x:c>
      <x:c r="G3" s="3" t="str">
        <x:v>Omgång 1</x:v>
      </x:c>
      <x:c r="H3" s="7" t="n">
        <x:v>46314</x:v>
      </x:c>
      <x:c r="I3" s="3" t="str">
        <x:v>Etiketter och val blir svåra att läsa vid 390 och 552 pixlars bredd. Stödda skärmstorlekar är inte fastställda.</x:v>
      </x:c>
      <x:c r="J3" s="3" t="str">
        <x:v>https://github.com/AliReza-Hezareh/qlerify-qa-testing/blob/4ba7e8fb81e5915a5e3d37a9a17cc5a3ca9012f2/qa/reports/exploratory-app-2026-10-19.md#app-002--domänmodellens-verktygsfält-överlappar-på-smal-skärm</x:v>
      </x:c>
      <x:c r="K3" s="3" t="str">
        <x:v>Inte omtestad i omgång 2.</x:v>
      </x:c>
    </x:row>
    <x:row r="4" ht="72" customHeight="1">
      <x:c r="A4" s="3" t="str">
        <x:v>APP-003</x:v>
      </x:c>
      <x:c r="B4" s="3" t="str">
        <x:v>Villkorslänk ger 404 från händelsedetalj</x:v>
      </x:c>
      <x:c r="C4" s="3" t="str">
        <x:v>Low</x:v>
      </x:c>
      <x:c r="D4" s="3" t="str">
        <x:v>P2</x:v>
      </x:c>
      <x:c r="E4" s="3" t="str">
        <x:v>Öppen</x:v>
      </x:c>
      <x:c r="F4" s="3" t="str">
        <x:v>Ny</x:v>
      </x:c>
      <x:c r="G4" s="3" t="str">
        <x:v>Omgång 1</x:v>
      </x:c>
      <x:c r="H4" s="7" t="n">
        <x:v>46314</x:v>
      </x:c>
      <x:c r="I4" s="3" t="str">
        <x:v>Villkorsdokumentet går inte att öppna från den testade detaljadressen.</x:v>
      </x:c>
      <x:c r="J4" s="3" t="str">
        <x:v>https://github.com/AliReza-Hezareh/qlerify-qa-testing/blob/4ba7e8fb81e5915a5e3d37a9a17cc5a3ca9012f2/qa/reports/exploratory-app-2026-10-19.md#app-003--villkorslänken-ger-404-från-en-händelses-detaljadress</x:v>
      </x:c>
      <x:c r="K4" s="3" t="str">
        <x:v>Inte omtestad i omgång 2.</x:v>
      </x:c>
    </x:row>
    <x:row r="5" ht="72" customHeight="1">
      <x:c r="A5" s="3" t="str">
        <x:v>APP-004</x:v>
      </x:c>
      <x:c r="B5" s="3" t="str">
        <x:v>Fyra ikonknappar saknar tillgängligt namn</x:v>
      </x:c>
      <x:c r="C5" s="3" t="str">
        <x:v>Medium</x:v>
      </x:c>
      <x:c r="D5" s="3" t="str">
        <x:v>P2</x:v>
      </x:c>
      <x:c r="E5" s="3" t="str">
        <x:v>Öppen</x:v>
      </x:c>
      <x:c r="F5" s="3" t="str">
        <x:v>Ny</x:v>
      </x:c>
      <x:c r="G5" s="3" t="str">
        <x:v>Omgång 1</x:v>
      </x:c>
      <x:c r="H5" s="7" t="n">
        <x:v>46314</x:v>
      </x:c>
      <x:c r="I5" s="3" t="str">
        <x:v>Knappar saknar beskrivande namn i tillgänglighetsträdet. Specifik skärmläsare testades inte.</x:v>
      </x:c>
      <x:c r="J5" s="3" t="str">
        <x:v>https://github.com/AliReza-Hezareh/qlerify-qa-testing/blob/4ba7e8fb81e5915a5e3d37a9a17cc5a3ca9012f2/qa/reports/exploratory-app-2026-10-19.md#app-004--fyra-ikonknappar-saknar-tillgängligt-namn</x:v>
      </x:c>
      <x:c r="K5" s="3" t="str">
        <x:v>Inte omtestad i omgång 2.</x:v>
      </x:c>
    </x:row>
    <x:row r="6" ht="72" customHeight="1">
      <x:c r="A6" s="3" t="str">
        <x:v>APP-005</x:v>
      </x:c>
      <x:c r="B6" s="3" t="str">
        <x:v>Snabb namnändring följd av Add lane tappar banan</x:v>
      </x:c>
      <x:c r="C6" s="3" t="str">
        <x:v>Medium</x:v>
      </x:c>
      <x:c r="D6" s="3" t="str">
        <x:v>P2</x:v>
      </x:c>
      <x:c r="E6" s="3" t="str">
        <x:v>Öppen</x:v>
      </x:c>
      <x:c r="F6" s="3" t="str">
        <x:v>Ny</x:v>
      </x:c>
      <x:c r="G6" s="3" t="str">
        <x:v>Omgång 2</x:v>
      </x:c>
      <x:c r="H6" s="7" t="n">
        <x:v>46314</x:v>
      </x:c>
      <x:c r="I6" s="3" t="str">
        <x:v>Namn sparas men den efterföljande åtgärden misslyckas med konfliktmeddelande. Reproducerat två gånger.</x:v>
      </x:c>
      <x:c r="J6" s="3" t="str">
        <x:v>https://github.com/AliReza-Hezareh/qlerify-qa-testing/blob/4ba7e8fb81e5915a5e3d37a9a17cc5a3ca9012f2/qa/reports/exploratory-app-2026-10-19-round2.md#app-005--snabb-namnändring-följd-av-add-lane-tappar-den-nya-banan</x:v>
      </x:c>
      <x:c r="K6" s="3" t="str">
        <x:v>Två försök i omgång 2.</x:v>
      </x:c>
    </x:row>
    <x:row r="7" ht="72" customHeight="1">
      <x:c r="A7" s="3" t="str">
        <x:v>APP-006</x:v>
      </x:c>
      <x:c r="B7" s="3" t="str">
        <x:v>CSV-förhandsvisning slår ihop två textrader</x:v>
      </x:c>
      <x:c r="C7" s="3" t="str">
        <x:v>Low</x:v>
      </x:c>
      <x:c r="D7" s="3" t="str">
        <x:v>P2</x:v>
      </x:c>
      <x:c r="E7" s="3" t="str">
        <x:v>Öppen</x:v>
      </x:c>
      <x:c r="F7" s="3" t="str">
        <x:v>Ny</x:v>
      </x:c>
      <x:c r="G7" s="3" t="str">
        <x:v>Omgång 2</x:v>
      </x:c>
      <x:c r="H7" s="7" t="n">
        <x:v>46314</x:v>
      </x:c>
      <x:c r="I7" s="3" t="str">
        <x:v>Två textrader blir en text utan avskiljare. Själva CSV-filen är inte verifierad.</x:v>
      </x:c>
      <x:c r="J7" s="3" t="str">
        <x:v>https://github.com/AliReza-Hezareh/qlerify-qa-testing/blob/4ba7e8fb81e5915a5e3d37a9a17cc5a3ca9012f2/qa/reports/exploratory-app-2026-10-19-round2.md#app-006--csv-förhandsvisningen-tar-bort-gränsen-mellan-två-textrader</x:v>
      </x:c>
      <x:c r="K7" s="3" t="str">
        <x:v>Förhandsvisningen verifierad i omgång 2.</x:v>
      </x:c>
    </x:row>
    <x:row r="8" ht="72" customHeight="1">
      <x:c r="A8" s="3" t="str">
        <x:v>QW-001</x:v>
      </x:c>
      <x:c r="B8" s="3" t="str">
        <x:v>qlerify.com/login visar Page Not Found</x:v>
      </x:c>
      <x:c r="C8" s="3" t="str">
        <x:v>Low</x:v>
      </x:c>
      <x:c r="D8" s="3" t="str">
        <x:v>P2</x:v>
      </x:c>
      <x:c r="E8" s="3" t="str">
        <x:v>Öppen</x:v>
      </x:c>
      <x:c r="F8" s="3" t="str">
        <x:v>Tidigare känt</x:v>
      </x:c>
      <x:c r="G8" s="3" t="str">
        <x:v>Omgång 1</x:v>
      </x:c>
      <x:c r="H8" s="7" t="n">
        <x:v>46314</x:v>
      </x:c>
      <x:c r="I8" s="3" t="str">
        <x:v>Den publika loginadressen visar en felsida. Sidans Log in-länk pekar på appens login.</x:v>
      </x:c>
      <x:c r="J8" s="3" t="str">
        <x:v>https://github.com/AliReza-Hezareh/qlerify-qa-testing/blob/4ba7e8fb81e5915a5e3d37a9a17cc5a3ca9012f2/qa/reports/exploratory-app-2026-10-19.md#qw-001--qlerifycomlogin-visar-page-not-found</x:v>
      </x:c>
      <x:c r="K8" s="3" t="str">
        <x:v>Återkom i omgång 1. Inte omtestad i omgång 2.</x:v>
      </x:c>
    </x:row>
  </x:sheetData>
  <x:dataValidations count="4">
    <x:dataValidation type="list" sqref="C2:C8">
      <x:formula1>"Critical,High,Medium,Low"</x:formula1>
    </x:dataValidation>
    <x:dataValidation type="list" sqref="D2:D8">
      <x:formula1>"P1,P2,P3"</x:formula1>
    </x:dataValidation>
    <x:dataValidation type="list" sqref="E2:E8">
      <x:formula1>"Öppen,Under arbete,Rättad,Stängd"</x:formula1>
    </x:dataValidation>
    <x:dataValidation type="list" sqref="F2:F8">
      <x:formula1>"Ny,Tidigare känt"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7954a20d484e21"/>
  </x:tableParts>
</x:worksheet>
</file>

<file path=xl/worksheets/sheet6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1.25" hidden="0" customWidth="1"/>
    <x:col min="2" max="2" width="41.25" hidden="0" customWidth="1"/>
    <x:col min="3" max="3" width="21.25" hidden="0" customWidth="1"/>
    <x:col min="4" max="4" width="13.130000114440918" hidden="0" customWidth="1"/>
    <x:col min="5" max="5" width="81.25" hidden="0" customWidth="1"/>
    <x:col min="6" max="6" width="53.75" hidden="0" customWidth="1"/>
  </x:cols>
  <x:sheetData>
    <x:row r="1" ht="36" customHeight="1">
      <x:c r="A1" s="6" t="str">
        <x:v>Käll-ID</x:v>
      </x:c>
      <x:c r="B1" s="6" t="str">
        <x:v>Underlag</x:v>
      </x:c>
      <x:c r="C1" s="6" t="str">
        <x:v>Typ</x:v>
      </x:c>
      <x:c r="D1" s="6" t="str">
        <x:v>Datum</x:v>
      </x:c>
      <x:c r="E1" s="6" t="str">
        <x:v>Länk</x:v>
      </x:c>
      <x:c r="F1" s="6" t="str">
        <x:v>Vad länken visar</x:v>
      </x:c>
    </x:row>
    <x:row r="2" ht="72" customHeight="1">
      <x:c r="A2" s="3" t="str">
        <x:v>S-001</x:v>
      </x:c>
      <x:c r="B2" s="3" t="str">
        <x:v>QA-status</x:v>
      </x:c>
      <x:c r="C2" s="3" t="str">
        <x:v>GitHub-snapshot</x:v>
      </x:c>
      <x:c r="D2" s="7" t="n">
        <x:v>46314</x:v>
      </x:c>
      <x:c r="E2" s="3" t="str">
        <x:v>https://github.com/AliReza-Hezareh/qlerify-qa-testing/blob/4ba7e8fb81e5915a5e3d37a9a17cc5a3ca9012f2/qa/STATUS.md</x:v>
      </x:c>
      <x:c r="F2" s="3" t="str">
        <x:v>Sammanfattning och avgränsningar från den sparade QA-statusen.</x:v>
      </x:c>
    </x:row>
    <x:row r="3" ht="72" customHeight="1">
      <x:c r="A3" s="3" t="str">
        <x:v>S-002</x:v>
      </x:c>
      <x:c r="B3" s="3" t="str">
        <x:v>Första utforskande appgranskningen</x:v>
      </x:c>
      <x:c r="C3" s="3" t="str">
        <x:v>GitHub-snapshot</x:v>
      </x:c>
      <x:c r="D3" s="7" t="n">
        <x:v>46314</x:v>
      </x:c>
      <x:c r="E3" s="3" t="str">
        <x:v>https://github.com/AliReza-Hezareh/qlerify-qa-testing/blob/4ba7e8fb81e5915a5e3d37a9a17cc5a3ca9012f2/qa/reports/exploratory-app-2026-10-19.md</x:v>
      </x:c>
      <x:c r="F3" s="3" t="str">
        <x:v>49 kontrollpunkter och APP-001–004 samt QW-001.</x:v>
      </x:c>
    </x:row>
    <x:row r="4" ht="72" customHeight="1">
      <x:c r="A4" s="3" t="str">
        <x:v>S-003</x:v>
      </x:c>
      <x:c r="B4" s="3" t="str">
        <x:v>Andra utforskande appgranskningen</x:v>
      </x:c>
      <x:c r="C4" s="3" t="str">
        <x:v>GitHub-snapshot</x:v>
      </x:c>
      <x:c r="D4" s="7" t="n">
        <x:v>46314</x:v>
      </x:c>
      <x:c r="E4" s="3" t="str">
        <x:v>https://github.com/AliReza-Hezareh/qlerify-qa-testing/blob/4ba7e8fb81e5915a5e3d37a9a17cc5a3ca9012f2/qa/reports/exploratory-app-2026-10-19-round2.md</x:v>
      </x:c>
      <x:c r="F4" s="3" t="str">
        <x:v>48 kontrollpunkter samt APP-005 och APP-006.</x:v>
      </x:c>
    </x:row>
    <x:row r="5" ht="72" customHeight="1">
      <x:c r="A5" s="3" t="str">
        <x:v>S-004</x:v>
      </x:c>
      <x:c r="B5" s="3" t="str">
        <x:v>R2-041: stoppad filuppladdning</x:v>
      </x:c>
      <x:c r="C5" s="3" t="str">
        <x:v>GitHub-snapshot</x:v>
      </x:c>
      <x:c r="D5" s="7" t="n">
        <x:v>46314</x:v>
      </x:c>
      <x:c r="E5" s="3" t="str">
        <x:v>https://github.com/AliReza-Hezareh/qlerify-qa-testing/blob/4ba7e8fb81e5915a5e3d37a9a17cc5a3ca9012f2/qa/evidence/exploratory-2026-10-19-round2/TC-upload-blocked.md</x:v>
      </x:c>
      <x:c r="F5" s="3" t="str">
        <x:v>Två testfiler skapades. Ingen fil laddades upp och inget manuellt resultat har rapporterats.</x:v>
      </x:c>
    </x:row>
    <x:row r="6" ht="72" customHeight="1">
      <x:c r="A6" s="3" t="str">
        <x:v>S-005</x:v>
      </x:c>
      <x:c r="B6" s="3" t="str">
        <x:v>Bevis från första omgången</x:v>
      </x:c>
      <x:c r="C6" s="3" t="str">
        <x:v>GitHub-snapshot</x:v>
      </x:c>
      <x:c r="D6" s="7" t="n">
        <x:v>46314</x:v>
      </x:c>
      <x:c r="E6" s="3" t="str">
        <x:v>https://github.com/AliReza-Hezareh/qlerify-qa-testing/tree/4ba7e8fb81e5915a5e3d37a9a17cc5a3ca9012f2/qa/evidence/exploratory-2026-10-19/</x:v>
      </x:c>
      <x:c r="F6" s="3" t="str">
        <x:v>Sparade bilder, DOM-utdrag och textbevis.</x:v>
      </x:c>
    </x:row>
    <x:row r="7" ht="72" customHeight="1">
      <x:c r="A7" s="3" t="str">
        <x:v>S-006</x:v>
      </x:c>
      <x:c r="B7" s="3" t="str">
        <x:v>Bevis från andra omgången</x:v>
      </x:c>
      <x:c r="C7" s="3" t="str">
        <x:v>GitHub-snapshot</x:v>
      </x:c>
      <x:c r="D7" s="7" t="n">
        <x:v>46314</x:v>
      </x:c>
      <x:c r="E7" s="3" t="str">
        <x:v>https://github.com/AliReza-Hezareh/qlerify-qa-testing/tree/4ba7e8fb81e5915a5e3d37a9a17cc5a3ca9012f2/qa/evidence/exploratory-2026-10-19-round2/</x:v>
      </x:c>
      <x:c r="F7" s="3" t="str">
        <x:v>Sparade bilder, textbevis och strukturerade observationer.</x:v>
      </x:c>
    </x:row>
    <x:row r="8" ht="72" customHeight="1">
      <x:c r="A8" s="3" t="str">
        <x:v>S-007</x:v>
      </x:c>
      <x:c r="B8" s="3" t="str">
        <x:v>QA-rapport och arbetsunderlag</x:v>
      </x:c>
      <x:c r="C8" s="3" t="str">
        <x:v>Google Dokument</x:v>
      </x:c>
      <x:c r="D8" s="7" t="n">
        <x:v>46317</x:v>
      </x:c>
      <x:c r="E8" s="3" t="str">
        <x:v>https://docs.google.com/document/d/1ojP28dH5XNDj-oowxUhK-xZ6c1tG0reOvhkMchx-Rls/edit?usp=drivesdk</x:v>
      </x:c>
      <x:c r="F8" s="3" t="str">
        <x:v>Sammanställning för rapport och fortsatt dokumentation.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9b485ba9e8604740"/>
  </x:tableParts>
</x:worksheet>
</file>